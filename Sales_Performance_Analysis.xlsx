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Cleaned_Data" sheetId="3" state="visible" r:id="rId5"/>
    <sheet name="Sales_by_Region" sheetId="4" state="visible" r:id="rId6"/>
    <sheet name="Sales_by_Product" sheetId="5" state="visible" r:id="rId7"/>
    <sheet name="Monthly_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<sst xmlns="http://schemas.openxmlformats.org/spreadsheetml/2006/main" count="2313" uniqueCount="272">
  <si>
    <t xml:space="preserve">Business Sales Performance Analysis &amp; Decision Dashboard</t>
  </si>
  <si>
    <t xml:space="preserve">Maincrafts Technology | Prepared by: Business Analytics Intern | Data period: Jan–Dec 2024</t>
  </si>
  <si>
    <t xml:space="preserve">Total Revenue</t>
  </si>
  <si>
    <t xml:space="preserve">Total Profit</t>
  </si>
  <si>
    <t xml:space="preserve">Avg Profit Margin</t>
  </si>
  <si>
    <t xml:space="preserve">Total Orders</t>
  </si>
  <si>
    <t xml:space="preserve">Best Performing Region:</t>
  </si>
  <si>
    <t xml:space="preserve">Top Product:</t>
  </si>
  <si>
    <t xml:space="preserve">Order_ID</t>
  </si>
  <si>
    <t xml:space="preserve">Order_Date</t>
  </si>
  <si>
    <t xml:space="preserve">Region</t>
  </si>
  <si>
    <t xml:space="preserve">Product</t>
  </si>
  <si>
    <t xml:space="preserve">Category</t>
  </si>
  <si>
    <t xml:space="preserve">Sales_Amount</t>
  </si>
  <si>
    <t xml:space="preserve">Profit</t>
  </si>
  <si>
    <t xml:space="preserve">Quantity</t>
  </si>
  <si>
    <t xml:space="preserve">2024-07-04</t>
  </si>
  <si>
    <t xml:space="preserve">West</t>
  </si>
  <si>
    <t xml:space="preserve">Whiteboard</t>
  </si>
  <si>
    <t xml:space="preserve">Stationery</t>
  </si>
  <si>
    <t xml:space="preserve">2024-09-09</t>
  </si>
  <si>
    <t xml:space="preserve">East</t>
  </si>
  <si>
    <t xml:space="preserve">Wireless Mouse</t>
  </si>
  <si>
    <t xml:space="preserve">Electronics</t>
  </si>
  <si>
    <t xml:space="preserve">2024-12-26</t>
  </si>
  <si>
    <t xml:space="preserve">South</t>
  </si>
  <si>
    <t xml:space="preserve">Sticky Notes</t>
  </si>
  <si>
    <t xml:space="preserve">2024-12-30</t>
  </si>
  <si>
    <t xml:space="preserve">2024-12-06</t>
  </si>
  <si>
    <t xml:space="preserve">Standing Desk</t>
  </si>
  <si>
    <t xml:space="preserve">Furniture</t>
  </si>
  <si>
    <t xml:space="preserve">2024-05-15</t>
  </si>
  <si>
    <t xml:space="preserve">Notebook Pack</t>
  </si>
  <si>
    <t xml:space="preserve">2024-02-01</t>
  </si>
  <si>
    <t xml:space="preserve">Electric Kettle</t>
  </si>
  <si>
    <t xml:space="preserve">Appliances</t>
  </si>
  <si>
    <t xml:space="preserve">2024-12-11</t>
  </si>
  <si>
    <t xml:space="preserve">North</t>
  </si>
  <si>
    <t xml:space="preserve">2024-05-24</t>
  </si>
  <si>
    <t xml:space="preserve">2024-12-27</t>
  </si>
  <si>
    <t xml:space="preserve">2024-08-21</t>
  </si>
  <si>
    <t xml:space="preserve">2024-02-26</t>
  </si>
  <si>
    <t xml:space="preserve">Coffee Maker</t>
  </si>
  <si>
    <t xml:space="preserve">2024-04-08</t>
  </si>
  <si>
    <t xml:space="preserve">2024-02-08</t>
  </si>
  <si>
    <t xml:space="preserve">Desk Fan</t>
  </si>
  <si>
    <t xml:space="preserve">2024-03-05</t>
  </si>
  <si>
    <t xml:space="preserve">Filing Cabinet</t>
  </si>
  <si>
    <t xml:space="preserve">2024-10-25</t>
  </si>
  <si>
    <t xml:space="preserve">2024-05-07</t>
  </si>
  <si>
    <t xml:space="preserve">2024-11-16</t>
  </si>
  <si>
    <t xml:space="preserve">Pen Set</t>
  </si>
  <si>
    <t xml:space="preserve">2024-04-01</t>
  </si>
  <si>
    <t xml:space="preserve">Bookshelf</t>
  </si>
  <si>
    <t xml:space="preserve">2024-02-05</t>
  </si>
  <si>
    <t xml:space="preserve">2024-11-19</t>
  </si>
  <si>
    <t xml:space="preserve">2024-01-27</t>
  </si>
  <si>
    <t xml:space="preserve">2024-03-24</t>
  </si>
  <si>
    <t xml:space="preserve">2024-10-05</t>
  </si>
  <si>
    <t xml:space="preserve">2024-11-28</t>
  </si>
  <si>
    <t xml:space="preserve">USB-C Hub</t>
  </si>
  <si>
    <t xml:space="preserve">2024-03-10</t>
  </si>
  <si>
    <t xml:space="preserve">2024-07-31</t>
  </si>
  <si>
    <t xml:space="preserve">2024-04-28</t>
  </si>
  <si>
    <t xml:space="preserve">2024-08-23</t>
  </si>
  <si>
    <t xml:space="preserve">20/09/2024</t>
  </si>
  <si>
    <t xml:space="preserve">Office Chair</t>
  </si>
  <si>
    <t xml:space="preserve">2024-08-18</t>
  </si>
  <si>
    <t xml:space="preserve">2024-01-17</t>
  </si>
  <si>
    <t xml:space="preserve">Webcam HD</t>
  </si>
  <si>
    <t xml:space="preserve">2024-03-14</t>
  </si>
  <si>
    <t xml:space="preserve">2024-04-25</t>
  </si>
  <si>
    <t xml:space="preserve">2024-09-28</t>
  </si>
  <si>
    <t xml:space="preserve">2024-10-07</t>
  </si>
  <si>
    <t xml:space="preserve">2024-10-01</t>
  </si>
  <si>
    <t xml:space="preserve">2024-08-10</t>
  </si>
  <si>
    <t xml:space="preserve">2024-06-27</t>
  </si>
  <si>
    <t xml:space="preserve">2024-06-01</t>
  </si>
  <si>
    <t xml:space="preserve">2024-04-02</t>
  </si>
  <si>
    <t xml:space="preserve">2024-09-12</t>
  </si>
  <si>
    <t xml:space="preserve">2024-06-21</t>
  </si>
  <si>
    <t xml:space="preserve">2024-08-07</t>
  </si>
  <si>
    <t xml:space="preserve">2024-01-21</t>
  </si>
  <si>
    <t xml:space="preserve">2024-05-27</t>
  </si>
  <si>
    <t xml:space="preserve">2024-01-02</t>
  </si>
  <si>
    <t xml:space="preserve">Bluetooth Speaker</t>
  </si>
  <si>
    <t xml:space="preserve">2024-03-06</t>
  </si>
  <si>
    <t xml:space="preserve">2024-07-27</t>
  </si>
  <si>
    <t xml:space="preserve">2024-06-15</t>
  </si>
  <si>
    <t xml:space="preserve">2024-08-17</t>
  </si>
  <si>
    <t xml:space="preserve">2024-03-07</t>
  </si>
  <si>
    <t xml:space="preserve">2024-08-12</t>
  </si>
  <si>
    <t xml:space="preserve">2024-12-01</t>
  </si>
  <si>
    <t xml:space="preserve">2024-07-13</t>
  </si>
  <si>
    <t xml:space="preserve">2024-03-31</t>
  </si>
  <si>
    <t xml:space="preserve">Laptop Stand</t>
  </si>
  <si>
    <t xml:space="preserve">2024-02-22</t>
  </si>
  <si>
    <t xml:space="preserve">2024-06-04</t>
  </si>
  <si>
    <t xml:space="preserve">2024-03-28</t>
  </si>
  <si>
    <t xml:space="preserve">2024-11-05</t>
  </si>
  <si>
    <t xml:space="preserve">2024-11-10</t>
  </si>
  <si>
    <t xml:space="preserve">2024-04-18</t>
  </si>
  <si>
    <t xml:space="preserve">2024-05-16</t>
  </si>
  <si>
    <t xml:space="preserve">2024-05-20</t>
  </si>
  <si>
    <t xml:space="preserve">2024-01-07</t>
  </si>
  <si>
    <t xml:space="preserve">2024-11-24</t>
  </si>
  <si>
    <t xml:space="preserve">2024-02-16</t>
  </si>
  <si>
    <t xml:space="preserve">2024-11-11</t>
  </si>
  <si>
    <t xml:space="preserve">2024-08-11</t>
  </si>
  <si>
    <t xml:space="preserve">2024-07-16</t>
  </si>
  <si>
    <t xml:space="preserve">2024-05-09</t>
  </si>
  <si>
    <t xml:space="preserve">2024-10-09</t>
  </si>
  <si>
    <t xml:space="preserve">2024-05-18</t>
  </si>
  <si>
    <t xml:space="preserve">2024-06-25</t>
  </si>
  <si>
    <t xml:space="preserve">2024-01-24</t>
  </si>
  <si>
    <t xml:space="preserve">2024-07-09</t>
  </si>
  <si>
    <t xml:space="preserve">2024-03-25</t>
  </si>
  <si>
    <t xml:space="preserve">2024-10-16</t>
  </si>
  <si>
    <t xml:space="preserve">2024-02-25</t>
  </si>
  <si>
    <t xml:space="preserve">2024-10-15</t>
  </si>
  <si>
    <t xml:space="preserve">2024-07-29</t>
  </si>
  <si>
    <t xml:space="preserve">2024-10-18</t>
  </si>
  <si>
    <t xml:space="preserve">2024-09-07</t>
  </si>
  <si>
    <t xml:space="preserve">2024-05-28</t>
  </si>
  <si>
    <t xml:space="preserve">2024-06-23</t>
  </si>
  <si>
    <t xml:space="preserve">2024-12-15</t>
  </si>
  <si>
    <t xml:space="preserve">2024-04-23</t>
  </si>
  <si>
    <t xml:space="preserve">2024-11-14</t>
  </si>
  <si>
    <t xml:space="preserve">2024-06-14</t>
  </si>
  <si>
    <t xml:space="preserve">2024-03-09</t>
  </si>
  <si>
    <t xml:space="preserve">2024-05-04</t>
  </si>
  <si>
    <t xml:space="preserve">2024-10-27</t>
  </si>
  <si>
    <t xml:space="preserve">2024-11-04</t>
  </si>
  <si>
    <t xml:space="preserve">2024-04-30</t>
  </si>
  <si>
    <t xml:space="preserve">2024-09-26</t>
  </si>
  <si>
    <t xml:space="preserve">2024-05-05</t>
  </si>
  <si>
    <t xml:space="preserve">2024-06-03</t>
  </si>
  <si>
    <t xml:space="preserve">2024-08-30</t>
  </si>
  <si>
    <t xml:space="preserve">2024-09-25</t>
  </si>
  <si>
    <t xml:space="preserve">2024-10-26</t>
  </si>
  <si>
    <t xml:space="preserve">2024-11-18</t>
  </si>
  <si>
    <t xml:space="preserve">2024-12-19</t>
  </si>
  <si>
    <t xml:space="preserve">2024-05-01</t>
  </si>
  <si>
    <t xml:space="preserve">2024-07-21</t>
  </si>
  <si>
    <t xml:space="preserve">2024-05-21</t>
  </si>
  <si>
    <t xml:space="preserve">2024-10-12</t>
  </si>
  <si>
    <t xml:space="preserve">2024-02-10</t>
  </si>
  <si>
    <t xml:space="preserve">2024-02-21</t>
  </si>
  <si>
    <t xml:space="preserve">2024-08-19</t>
  </si>
  <si>
    <t xml:space="preserve">2024-03-23</t>
  </si>
  <si>
    <t xml:space="preserve">2024-03-30</t>
  </si>
  <si>
    <t xml:space="preserve">2024-05-06</t>
  </si>
  <si>
    <t xml:space="preserve">2024-06-17</t>
  </si>
  <si>
    <t xml:space="preserve">2024-04-05</t>
  </si>
  <si>
    <t xml:space="preserve">2024-06-30</t>
  </si>
  <si>
    <t xml:space="preserve">2024-03-26</t>
  </si>
  <si>
    <t xml:space="preserve">2024-11-21</t>
  </si>
  <si>
    <t xml:space="preserve">2024-10-20</t>
  </si>
  <si>
    <t xml:space="preserve">2024-10-03</t>
  </si>
  <si>
    <t xml:space="preserve">2024-06-09</t>
  </si>
  <si>
    <t xml:space="preserve">2024-04-16</t>
  </si>
  <si>
    <t xml:space="preserve">2024-07-14</t>
  </si>
  <si>
    <t xml:space="preserve">2024-12-04</t>
  </si>
  <si>
    <t xml:space="preserve">2024-10-31</t>
  </si>
  <si>
    <t xml:space="preserve">2024-09-14</t>
  </si>
  <si>
    <t xml:space="preserve">2024-02-12</t>
  </si>
  <si>
    <t xml:space="preserve">2024-09-20</t>
  </si>
  <si>
    <t xml:space="preserve">2024-02-04</t>
  </si>
  <si>
    <t xml:space="preserve">2024-07-07</t>
  </si>
  <si>
    <t xml:space="preserve">2024-11-26</t>
  </si>
  <si>
    <t xml:space="preserve">2024-01-10</t>
  </si>
  <si>
    <t xml:space="preserve">2024-07-18</t>
  </si>
  <si>
    <t xml:space="preserve">2024-07-20</t>
  </si>
  <si>
    <t xml:space="preserve">30/04/2024</t>
  </si>
  <si>
    <t xml:space="preserve">2024-12-07</t>
  </si>
  <si>
    <t xml:space="preserve">2024-01-23</t>
  </si>
  <si>
    <t xml:space="preserve">2024-01-13</t>
  </si>
  <si>
    <t xml:space="preserve">2024-05-26</t>
  </si>
  <si>
    <t xml:space="preserve">2024-05-31</t>
  </si>
  <si>
    <t xml:space="preserve">2024-08-27</t>
  </si>
  <si>
    <t xml:space="preserve">2024-11-12</t>
  </si>
  <si>
    <t xml:space="preserve">2024-01-26</t>
  </si>
  <si>
    <t xml:space="preserve">2024-10-28</t>
  </si>
  <si>
    <t xml:space="preserve">2024-02-11</t>
  </si>
  <si>
    <t xml:space="preserve">2024-12-24</t>
  </si>
  <si>
    <t xml:space="preserve">2024-12-13</t>
  </si>
  <si>
    <t xml:space="preserve">2024-03-18</t>
  </si>
  <si>
    <t xml:space="preserve">2024-09-16</t>
  </si>
  <si>
    <t xml:space="preserve">2024-08-02</t>
  </si>
  <si>
    <t xml:space="preserve">2024-09-30</t>
  </si>
  <si>
    <t xml:space="preserve">2024-12-23</t>
  </si>
  <si>
    <t xml:space="preserve">2024-12-12</t>
  </si>
  <si>
    <t xml:space="preserve">2024-12-09</t>
  </si>
  <si>
    <t xml:space="preserve">2024-01-29</t>
  </si>
  <si>
    <t xml:space="preserve">2024-04-24</t>
  </si>
  <si>
    <t xml:space="preserve">2024-11-17</t>
  </si>
  <si>
    <t xml:space="preserve">2024-12-22</t>
  </si>
  <si>
    <t xml:space="preserve">2024-08-14</t>
  </si>
  <si>
    <t xml:space="preserve">2024-10-08</t>
  </si>
  <si>
    <t xml:space="preserve">2024-04-13</t>
  </si>
  <si>
    <t xml:space="preserve">2024-12-29</t>
  </si>
  <si>
    <t xml:space="preserve">12/01/2024</t>
  </si>
  <si>
    <t xml:space="preserve">2024-09-06</t>
  </si>
  <si>
    <t xml:space="preserve">2024-01-22</t>
  </si>
  <si>
    <t xml:space="preserve">2024-02-20</t>
  </si>
  <si>
    <t xml:space="preserve">2024-09-19</t>
  </si>
  <si>
    <t xml:space="preserve">2024-08-26</t>
  </si>
  <si>
    <t xml:space="preserve">2024-02-07</t>
  </si>
  <si>
    <t xml:space="preserve">2024-05-10</t>
  </si>
  <si>
    <t xml:space="preserve">2024-04-19</t>
  </si>
  <si>
    <t xml:space="preserve">2024-08-13</t>
  </si>
  <si>
    <t xml:space="preserve">2024-01-25</t>
  </si>
  <si>
    <t xml:space="preserve">2024-04-11</t>
  </si>
  <si>
    <t xml:space="preserve">2024-05-11</t>
  </si>
  <si>
    <t xml:space="preserve">2024-05-13</t>
  </si>
  <si>
    <t xml:space="preserve">2024-11-29</t>
  </si>
  <si>
    <t xml:space="preserve">2024-07-02</t>
  </si>
  <si>
    <t xml:space="preserve">2024-12-28</t>
  </si>
  <si>
    <t xml:space="preserve">2024-06-19</t>
  </si>
  <si>
    <t xml:space="preserve">2024-02-17</t>
  </si>
  <si>
    <t xml:space="preserve">2024-06-29</t>
  </si>
  <si>
    <t xml:space="preserve">03/04/2024</t>
  </si>
  <si>
    <t xml:space="preserve">2024-07-08</t>
  </si>
  <si>
    <t xml:space="preserve">2024-12-25</t>
  </si>
  <si>
    <t xml:space="preserve">2024-04-12</t>
  </si>
  <si>
    <t xml:space="preserve">2024-01-11</t>
  </si>
  <si>
    <t xml:space="preserve">2024-01-15</t>
  </si>
  <si>
    <t xml:space="preserve">2024-08-25</t>
  </si>
  <si>
    <t xml:space="preserve">2024-11-06</t>
  </si>
  <si>
    <t xml:space="preserve">2024-08-01</t>
  </si>
  <si>
    <t xml:space="preserve">2024-12-31</t>
  </si>
  <si>
    <t xml:space="preserve">2024-05-25</t>
  </si>
  <si>
    <t xml:space="preserve">2024-11-23</t>
  </si>
  <si>
    <t xml:space="preserve">2024-11-01</t>
  </si>
  <si>
    <t xml:space="preserve">2024-09-02</t>
  </si>
  <si>
    <t xml:space="preserve">2024-12-17</t>
  </si>
  <si>
    <t xml:space="preserve">2024-08-03</t>
  </si>
  <si>
    <t xml:space="preserve">2024-10-14</t>
  </si>
  <si>
    <t xml:space="preserve">2024-06-11</t>
  </si>
  <si>
    <t xml:space="preserve">2024-06-22</t>
  </si>
  <si>
    <t xml:space="preserve">2024-12-03</t>
  </si>
  <si>
    <t xml:space="preserve">2024-02-09</t>
  </si>
  <si>
    <t xml:space="preserve">2024-10-23</t>
  </si>
  <si>
    <t xml:space="preserve">2024-05-03</t>
  </si>
  <si>
    <t xml:space="preserve">2024-01-19</t>
  </si>
  <si>
    <t xml:space="preserve">2024-11-09</t>
  </si>
  <si>
    <t xml:space="preserve">16/10/2024</t>
  </si>
  <si>
    <t xml:space="preserve">2024-08-04</t>
  </si>
  <si>
    <t xml:space="preserve">2024-09-10</t>
  </si>
  <si>
    <t xml:space="preserve">2024-09-27</t>
  </si>
  <si>
    <t xml:space="preserve">2024-03-15</t>
  </si>
  <si>
    <t xml:space="preserve">2024-04-26</t>
  </si>
  <si>
    <t xml:space="preserve">2024-09-22</t>
  </si>
  <si>
    <t xml:space="preserve">Total_Sales</t>
  </si>
  <si>
    <t xml:space="preserve">Profit_Margin</t>
  </si>
  <si>
    <t xml:space="preserve">Unspecified</t>
  </si>
  <si>
    <t xml:space="preserve">Total Sales</t>
  </si>
  <si>
    <t xml:space="preserve">Order Count</t>
  </si>
  <si>
    <t xml:space="preserve">Units Sold</t>
  </si>
  <si>
    <t xml:space="preserve">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</si>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</sst>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yyyy\-mm\-dd"/>
    <numFmt numFmtId="168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2E9E5B"/>
        <bgColor rgb="FF008080"/>
      </patternFill>
    </fill>
    <fill>
      <patternFill patternType="solid">
        <fgColor rgb="FFC55A11"/>
        <bgColor rgb="FFC0504D"/>
      </patternFill>
    </fill>
    <fill>
      <patternFill patternType="solid">
        <fgColor rgb="FF7030A0"/>
        <bgColor rgb="FF80008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C55A11"/>
      <rgbColor rgb="FF8064A2"/>
      <rgbColor rgb="FF4F81BD"/>
      <rgbColor rgb="FF003366"/>
      <rgbColor rgb="FF2E9E5B"/>
      <rgbColor rgb="FF003300"/>
      <rgbColor rgb="FF333300"/>
      <rgbColor rgb="FFC0504D"/>
      <rgbColor rgb="FF7030A0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Sales_by_Product!B1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Sales_by_Product!$A$2:$A$17</c:f>
              <c:strCache>
                <c:ptCount val="16"/>
                <c:pt idx="0">
                  <c:v>Office Chair</c:v>
                </c:pt>
                <c:pt idx="1">
                  <c:v>Bookshelf</c:v>
                </c:pt>
                <c:pt idx="2">
                  <c:v>Filing Cabinet</c:v>
                </c:pt>
                <c:pt idx="3">
                  <c:v>Coffee Maker</c:v>
                </c:pt>
                <c:pt idx="4">
                  <c:v>Desk Fan</c:v>
                </c:pt>
                <c:pt idx="5">
                  <c:v>Standing Desk</c:v>
                </c:pt>
                <c:pt idx="6">
                  <c:v>Electric Kettle</c:v>
                </c:pt>
                <c:pt idx="7">
                  <c:v>USB-C Hub</c:v>
                </c:pt>
                <c:pt idx="8">
                  <c:v>Webcam HD</c:v>
                </c:pt>
                <c:pt idx="9">
                  <c:v>Bluetooth Speaker</c:v>
                </c:pt>
                <c:pt idx="10">
                  <c:v>Laptop Stand</c:v>
                </c:pt>
                <c:pt idx="11">
                  <c:v>Wireless Mouse</c:v>
                </c:pt>
                <c:pt idx="12">
                  <c:v>Whiteboard</c:v>
                </c:pt>
                <c:pt idx="13">
                  <c:v>Sticky Notes</c:v>
                </c:pt>
                <c:pt idx="14">
                  <c:v>Pen Set</c:v>
                </c:pt>
                <c:pt idx="15">
                  <c:v>Notebook Pack</c:v>
                </c:pt>
              </c:strCache>
            </c:strRef>
          </c:cat>
          <c:val>
            <c:numRef>
              <c:f>Sales_by_Product!$B$2:$B$17</c:f>
              <c:numCache>
                <c:formatCode>#,##0</c:formatCode>
                <c:ptCount val="16"/>
                <c:pt idx="0">
                  <c:v>1023260.96</c:v>
                </c:pt>
                <c:pt idx="1">
                  <c:v>921004.07</c:v>
                </c:pt>
                <c:pt idx="2">
                  <c:v>841772.92</c:v>
                </c:pt>
                <c:pt idx="3">
                  <c:v>818510.19</c:v>
                </c:pt>
                <c:pt idx="4">
                  <c:v>671777.13</c:v>
                </c:pt>
                <c:pt idx="5">
                  <c:v>510827.62</c:v>
                </c:pt>
                <c:pt idx="6">
                  <c:v>416449.13</c:v>
                </c:pt>
                <c:pt idx="7">
                  <c:v>382064.64</c:v>
                </c:pt>
                <c:pt idx="8">
                  <c:v>351983.62</c:v>
                </c:pt>
                <c:pt idx="9">
                  <c:v>258554.67</c:v>
                </c:pt>
                <c:pt idx="10">
                  <c:v>254113.86</c:v>
                </c:pt>
                <c:pt idx="11">
                  <c:v>194057.81</c:v>
                </c:pt>
                <c:pt idx="12">
                  <c:v>61768.46</c:v>
                </c:pt>
                <c:pt idx="13">
                  <c:v>50060.4</c:v>
                </c:pt>
                <c:pt idx="14">
                  <c:v>49886.65</c:v>
                </c:pt>
                <c:pt idx="15">
                  <c:v>42874.53</c:v>
                </c:pt>
              </c:numCache>
            </c:numRef>
          </c:val>
        </c:ser>
        <c:gapWidth val="150"/>
        <c:overlap val="0"/>
        <c:axId val="20207816"/>
        <c:axId val="1923889"/>
      </c:barChart>
      <c:catAx>
        <c:axId val="2020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3889"/>
        <c:crosses val="autoZero"/>
        <c:auto val="1"/>
        <c:lblAlgn val="ctr"/>
        <c:lblOffset val="100"/>
        <c:noMultiLvlLbl val="0"/>
      </c:catAx>
      <c:valAx>
        <c:axId val="1923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078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Monthly_Trend!$B$2:$B$13</c:f>
              <c:numCache>
                <c:formatCode>#,##0</c:formatCode>
                <c:ptCount val="12"/>
                <c:pt idx="0">
                  <c:v>521489.48</c:v>
                </c:pt>
                <c:pt idx="1">
                  <c:v>666935.03</c:v>
                </c:pt>
                <c:pt idx="2">
                  <c:v>818423.81</c:v>
                </c:pt>
                <c:pt idx="3">
                  <c:v>557807.41</c:v>
                </c:pt>
                <c:pt idx="4">
                  <c:v>545263.57</c:v>
                </c:pt>
                <c:pt idx="5">
                  <c:v>474574.1</c:v>
                </c:pt>
                <c:pt idx="6">
                  <c:v>780536.15</c:v>
                </c:pt>
                <c:pt idx="7">
                  <c:v>642044.75</c:v>
                </c:pt>
                <c:pt idx="8">
                  <c:v>392852.04</c:v>
                </c:pt>
                <c:pt idx="9">
                  <c:v>350281.26</c:v>
                </c:pt>
                <c:pt idx="10">
                  <c:v>493935.05</c:v>
                </c:pt>
                <c:pt idx="11">
                  <c:v>604824.01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Monthly_Trend!C1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Monthly_Trend!$C$2:$C$13</c:f>
              <c:numCache>
                <c:formatCode>#,##0</c:formatCode>
                <c:ptCount val="12"/>
                <c:pt idx="0">
                  <c:v>83460.75</c:v>
                </c:pt>
                <c:pt idx="1">
                  <c:v>107896.38</c:v>
                </c:pt>
                <c:pt idx="2">
                  <c:v>140532.23</c:v>
                </c:pt>
                <c:pt idx="3">
                  <c:v>86523.54</c:v>
                </c:pt>
                <c:pt idx="4">
                  <c:v>93486.33</c:v>
                </c:pt>
                <c:pt idx="5">
                  <c:v>85900.74</c:v>
                </c:pt>
                <c:pt idx="6">
                  <c:v>119042.5</c:v>
                </c:pt>
                <c:pt idx="7">
                  <c:v>107603.91</c:v>
                </c:pt>
                <c:pt idx="8">
                  <c:v>69376.88</c:v>
                </c:pt>
                <c:pt idx="9">
                  <c:v>58806.85</c:v>
                </c:pt>
                <c:pt idx="10">
                  <c:v>86179.15</c:v>
                </c:pt>
                <c:pt idx="11">
                  <c:v>103192.39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781216"/>
        <c:axId val="79890011"/>
      </c:lineChart>
      <c:catAx>
        <c:axId val="20781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0011"/>
        <c:crosses val="autoZero"/>
        <c:auto val="1"/>
        <c:lblAlgn val="ctr"/>
        <c:lblOffset val="100"/>
        <c:noMultiLvlLbl val="0"/>
      </c:catAx>
      <c:valAx>
        <c:axId val="79890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81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Sales_by_Region!B1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Sales_by_Region!$A$2:$A$6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Unspecified</c:v>
                </c:pt>
                <c:pt idx="4">
                  <c:v>West</c:v>
                </c:pt>
              </c:strCache>
            </c:strRef>
          </c:cat>
          <c:val>
            <c:numRef>
              <c:f>Sales_by_Region!$B$2:$B$6</c:f>
              <c:numCache>
                <c:formatCode>#,##0</c:formatCode>
                <c:ptCount val="5"/>
                <c:pt idx="0">
                  <c:v>1772409.14</c:v>
                </c:pt>
                <c:pt idx="1">
                  <c:v>1813985.04</c:v>
                </c:pt>
                <c:pt idx="2">
                  <c:v>1608310.79</c:v>
                </c:pt>
                <c:pt idx="3">
                  <c:v>23244.58</c:v>
                </c:pt>
                <c:pt idx="4">
                  <c:v>1631017.11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Sales_by_Region!B1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Sales_by_Region!$A$2:$A$6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Unspecified</c:v>
                </c:pt>
                <c:pt idx="4">
                  <c:v>West</c:v>
                </c:pt>
              </c:strCache>
            </c:strRef>
          </c:cat>
          <c:val>
            <c:numRef>
              <c:f>Sales_by_Region!$B$2:$B$6</c:f>
              <c:numCache>
                <c:formatCode>#,##0</c:formatCode>
                <c:ptCount val="5"/>
                <c:pt idx="0">
                  <c:v>1772409.14</c:v>
                </c:pt>
                <c:pt idx="1">
                  <c:v>1813985.04</c:v>
                </c:pt>
                <c:pt idx="2">
                  <c:v>1608310.79</c:v>
                </c:pt>
                <c:pt idx="3">
                  <c:v>23244.58</c:v>
                </c:pt>
                <c:pt idx="4">
                  <c:v>1631017.11</c:v>
                </c:pt>
              </c:numCache>
            </c:numRef>
          </c:val>
        </c:ser>
        <c:gapWidth val="150"/>
        <c:overlap val="0"/>
        <c:axId val="55721080"/>
        <c:axId val="27934531"/>
      </c:barChart>
      <c:catAx>
        <c:axId val="557210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34531"/>
        <c:crosses val="autoZero"/>
        <c:auto val="1"/>
        <c:lblAlgn val="ctr"/>
        <c:lblOffset val="100"/>
        <c:noMultiLvlLbl val="0"/>
      </c:catAx>
      <c:valAx>
        <c:axId val="27934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21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Sales_by_Region!B1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Sales_by_Region!$A$2:$A$6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Unspecified</c:v>
                </c:pt>
                <c:pt idx="4">
                  <c:v>West</c:v>
                </c:pt>
              </c:strCache>
            </c:strRef>
          </c:cat>
          <c:val>
            <c:numRef>
              <c:f>Sales_by_Region!$B$2:$B$6</c:f>
              <c:numCache>
                <c:formatCode>#,##0</c:formatCode>
                <c:ptCount val="5"/>
                <c:pt idx="0">
                  <c:v>1772409.14</c:v>
                </c:pt>
                <c:pt idx="1">
                  <c:v>1813985.04</c:v>
                </c:pt>
                <c:pt idx="2">
                  <c:v>1608310.79</c:v>
                </c:pt>
                <c:pt idx="3">
                  <c:v>23244.58</c:v>
                </c:pt>
                <c:pt idx="4">
                  <c:v>1631017.11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Sales_by_Product!B1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Sales_by_Product!$A$2:$A$17</c:f>
              <c:strCache>
                <c:ptCount val="16"/>
                <c:pt idx="0">
                  <c:v>Office Chair</c:v>
                </c:pt>
                <c:pt idx="1">
                  <c:v>Bookshelf</c:v>
                </c:pt>
                <c:pt idx="2">
                  <c:v>Filing Cabinet</c:v>
                </c:pt>
                <c:pt idx="3">
                  <c:v>Coffee Maker</c:v>
                </c:pt>
                <c:pt idx="4">
                  <c:v>Desk Fan</c:v>
                </c:pt>
                <c:pt idx="5">
                  <c:v>Standing Desk</c:v>
                </c:pt>
                <c:pt idx="6">
                  <c:v>Electric Kettle</c:v>
                </c:pt>
                <c:pt idx="7">
                  <c:v>USB-C Hub</c:v>
                </c:pt>
                <c:pt idx="8">
                  <c:v>Webcam HD</c:v>
                </c:pt>
                <c:pt idx="9">
                  <c:v>Bluetooth Speaker</c:v>
                </c:pt>
                <c:pt idx="10">
                  <c:v>Laptop Stand</c:v>
                </c:pt>
                <c:pt idx="11">
                  <c:v>Wireless Mouse</c:v>
                </c:pt>
                <c:pt idx="12">
                  <c:v>Whiteboard</c:v>
                </c:pt>
                <c:pt idx="13">
                  <c:v>Sticky Notes</c:v>
                </c:pt>
                <c:pt idx="14">
                  <c:v>Pen Set</c:v>
                </c:pt>
                <c:pt idx="15">
                  <c:v>Notebook Pack</c:v>
                </c:pt>
              </c:strCache>
            </c:strRef>
          </c:cat>
          <c:val>
            <c:numRef>
              <c:f>Sales_by_Product!$B$2:$B$17</c:f>
              <c:numCache>
                <c:formatCode>#,##0</c:formatCode>
                <c:ptCount val="16"/>
                <c:pt idx="0">
                  <c:v>1023260.96</c:v>
                </c:pt>
                <c:pt idx="1">
                  <c:v>921004.07</c:v>
                </c:pt>
                <c:pt idx="2">
                  <c:v>841772.92</c:v>
                </c:pt>
                <c:pt idx="3">
                  <c:v>818510.19</c:v>
                </c:pt>
                <c:pt idx="4">
                  <c:v>671777.13</c:v>
                </c:pt>
                <c:pt idx="5">
                  <c:v>510827.62</c:v>
                </c:pt>
                <c:pt idx="6">
                  <c:v>416449.13</c:v>
                </c:pt>
                <c:pt idx="7">
                  <c:v>382064.64</c:v>
                </c:pt>
                <c:pt idx="8">
                  <c:v>351983.62</c:v>
                </c:pt>
                <c:pt idx="9">
                  <c:v>258554.67</c:v>
                </c:pt>
                <c:pt idx="10">
                  <c:v>254113.86</c:v>
                </c:pt>
                <c:pt idx="11">
                  <c:v>194057.81</c:v>
                </c:pt>
                <c:pt idx="12">
                  <c:v>61768.46</c:v>
                </c:pt>
                <c:pt idx="13">
                  <c:v>50060.4</c:v>
                </c:pt>
                <c:pt idx="14">
                  <c:v>49886.65</c:v>
                </c:pt>
                <c:pt idx="15">
                  <c:v>42874.53</c:v>
                </c:pt>
              </c:numCache>
            </c:numRef>
          </c:val>
        </c:ser>
        <c:gapWidth val="150"/>
        <c:overlap val="0"/>
        <c:axId val="12590247"/>
        <c:axId val="53071322"/>
      </c:barChart>
      <c:catAx>
        <c:axId val="12590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71322"/>
        <c:crosses val="autoZero"/>
        <c:auto val="1"/>
        <c:lblAlgn val="ctr"/>
        <c:lblOffset val="100"/>
        <c:noMultiLvlLbl val="0"/>
      </c:catAx>
      <c:valAx>
        <c:axId val="53071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90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Monthly_Trend!$B$2:$B$13</c:f>
              <c:numCache>
                <c:formatCode>#,##0</c:formatCode>
                <c:ptCount val="12"/>
                <c:pt idx="0">
                  <c:v>521489.48</c:v>
                </c:pt>
                <c:pt idx="1">
                  <c:v>666935.03</c:v>
                </c:pt>
                <c:pt idx="2">
                  <c:v>818423.81</c:v>
                </c:pt>
                <c:pt idx="3">
                  <c:v>557807.41</c:v>
                </c:pt>
                <c:pt idx="4">
                  <c:v>545263.57</c:v>
                </c:pt>
                <c:pt idx="5">
                  <c:v>474574.1</c:v>
                </c:pt>
                <c:pt idx="6">
                  <c:v>780536.15</c:v>
                </c:pt>
                <c:pt idx="7">
                  <c:v>642044.75</c:v>
                </c:pt>
                <c:pt idx="8">
                  <c:v>392852.04</c:v>
                </c:pt>
                <c:pt idx="9">
                  <c:v>350281.26</c:v>
                </c:pt>
                <c:pt idx="10">
                  <c:v>493935.05</c:v>
                </c:pt>
                <c:pt idx="11">
                  <c:v>604824.01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Monthly_Trend!C1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Monthly_Trend!$C$2:$C$13</c:f>
              <c:numCache>
                <c:formatCode>#,##0</c:formatCode>
                <c:ptCount val="12"/>
                <c:pt idx="0">
                  <c:v>83460.75</c:v>
                </c:pt>
                <c:pt idx="1">
                  <c:v>107896.38</c:v>
                </c:pt>
                <c:pt idx="2">
                  <c:v>140532.23</c:v>
                </c:pt>
                <c:pt idx="3">
                  <c:v>86523.54</c:v>
                </c:pt>
                <c:pt idx="4">
                  <c:v>93486.33</c:v>
                </c:pt>
                <c:pt idx="5">
                  <c:v>85900.74</c:v>
                </c:pt>
                <c:pt idx="6">
                  <c:v>119042.5</c:v>
                </c:pt>
                <c:pt idx="7">
                  <c:v>107603.91</c:v>
                </c:pt>
                <c:pt idx="8">
                  <c:v>69376.88</c:v>
                </c:pt>
                <c:pt idx="9">
                  <c:v>58806.85</c:v>
                </c:pt>
                <c:pt idx="10">
                  <c:v>86179.15</c:v>
                </c:pt>
                <c:pt idx="11">
                  <c:v>103192.39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34032"/>
        <c:axId val="34892608"/>
      </c:lineChart>
      <c:catAx>
        <c:axId val="41134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92608"/>
        <c:crosses val="autoZero"/>
        <c:auto val="1"/>
        <c:lblAlgn val="ctr"/>
        <c:lblOffset val="100"/>
        <c:noMultiLvlLbl val="0"/>
      </c:catAx>
      <c:valAx>
        <c:axId val="34892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340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130680</xdr:rowOff>
    </xdr:from>
    <xdr:to>
      <xdr:col>7</xdr:col>
      <xdr:colOff>747720</xdr:colOff>
      <xdr:row>30</xdr:row>
      <xdr:rowOff>131760</xdr:rowOff>
    </xdr:to>
    <xdr:graphicFrame>
      <xdr:nvGraphicFramePr>
        <xdr:cNvPr id="0" name="Chart 1"/>
        <xdr:cNvGraphicFramePr/>
      </xdr:nvGraphicFramePr>
      <xdr:xfrm>
        <a:off x="775440" y="2666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130680</xdr:rowOff>
    </xdr:from>
    <xdr:to>
      <xdr:col>13</xdr:col>
      <xdr:colOff>747720</xdr:colOff>
      <xdr:row>30</xdr:row>
      <xdr:rowOff>131760</xdr:rowOff>
    </xdr:to>
    <xdr:graphicFrame>
      <xdr:nvGraphicFramePr>
        <xdr:cNvPr id="1" name="Chart 2"/>
        <xdr:cNvGraphicFramePr/>
      </xdr:nvGraphicFramePr>
      <xdr:xfrm>
        <a:off x="5427360" y="2666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130680</xdr:rowOff>
    </xdr:from>
    <xdr:to>
      <xdr:col>7</xdr:col>
      <xdr:colOff>747720</xdr:colOff>
      <xdr:row>47</xdr:row>
      <xdr:rowOff>131760</xdr:rowOff>
    </xdr:to>
    <xdr:graphicFrame>
      <xdr:nvGraphicFramePr>
        <xdr:cNvPr id="2" name="Chart 3"/>
        <xdr:cNvGraphicFramePr/>
      </xdr:nvGraphicFramePr>
      <xdr:xfrm>
        <a:off x="775440" y="5905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256320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498168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14</xdr:col>
      <xdr:colOff>256320</xdr:colOff>
      <xdr:row>36</xdr:row>
      <xdr:rowOff>1080</xdr:rowOff>
    </xdr:to>
    <xdr:graphicFrame>
      <xdr:nvGraphicFramePr>
        <xdr:cNvPr id="4" name="Chart 2"/>
        <xdr:cNvGraphicFramePr/>
      </xdr:nvGraphicFramePr>
      <xdr:xfrm>
        <a:off x="4981680" y="3619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15</xdr:col>
      <xdr:colOff>473040</xdr:colOff>
      <xdr:row>19</xdr:row>
      <xdr:rowOff>170640</xdr:rowOff>
    </xdr:to>
    <xdr:graphicFrame>
      <xdr:nvGraphicFramePr>
        <xdr:cNvPr id="5" name="Chart 1"/>
        <xdr:cNvGraphicFramePr/>
      </xdr:nvGraphicFramePr>
      <xdr:xfrm>
        <a:off x="427680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581400</xdr:colOff>
      <xdr:row>19</xdr:row>
      <xdr:rowOff>170640</xdr:rowOff>
    </xdr:to>
    <xdr:graphicFrame>
      <xdr:nvGraphicFramePr>
        <xdr:cNvPr id="6" name="Chart 1"/>
        <xdr:cNvGraphicFramePr/>
      </xdr:nvGraphicFramePr>
      <xdr:xfrm>
        <a:off x="3712680" y="190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false" outlineLevel="0" collapsed="false">
      <c r="B5" s="3" t="s">
        <v>2</v>
      </c>
      <c r="C5" s="3"/>
      <c r="D5" s="3"/>
      <c r="E5" s="4" t="s">
        <v>3</v>
      </c>
      <c r="F5" s="4"/>
      <c r="G5" s="4"/>
      <c r="H5" s="5" t="s">
        <v>4</v>
      </c>
      <c r="I5" s="5"/>
      <c r="J5" s="5"/>
      <c r="K5" s="6" t="s">
        <v>5</v>
      </c>
      <c r="L5" s="6"/>
      <c r="M5" s="6"/>
    </row>
    <row r="6" customFormat="false" ht="15" hidden="false" customHeight="false" outlineLevel="0" collapsed="false">
      <c r="B6" s="3"/>
      <c r="C6" s="3"/>
      <c r="D6" s="3"/>
      <c r="E6" s="4"/>
      <c r="F6" s="4"/>
      <c r="G6" s="4"/>
      <c r="H6" s="5"/>
      <c r="I6" s="5"/>
      <c r="J6" s="5"/>
      <c r="K6" s="6"/>
      <c r="L6" s="6"/>
      <c r="M6" s="6"/>
    </row>
    <row r="7" customFormat="false" ht="15" hidden="false" customHeight="false" outlineLevel="0" collapsed="false">
      <c r="B7" s="7" t="n">
        <f aca="false">SUM(Cleaned_Data!$I$2:$I$315)</f>
        <v>6848966.66</v>
      </c>
      <c r="C7" s="7"/>
      <c r="D7" s="7"/>
      <c r="E7" s="8" t="n">
        <f aca="false">SUM(Cleaned_Data!$G$2:$G$315)</f>
        <v>1142001.65</v>
      </c>
      <c r="F7" s="8"/>
      <c r="G7" s="8"/>
      <c r="H7" s="9" t="n">
        <f aca="false">SUM(Cleaned_Data!$G$2:$G$315)/SUM(Cleaned_Data!$I$2:$I$315)</f>
        <v>0.166740722607051</v>
      </c>
      <c r="I7" s="9"/>
      <c r="J7" s="9"/>
      <c r="K7" s="10" t="n">
        <f aca="false">COUNTA(Cleaned_Data!$H$2:$H$315)</f>
        <v>314</v>
      </c>
      <c r="L7" s="10"/>
      <c r="M7" s="10"/>
    </row>
    <row r="8" customFormat="false" ht="15" hidden="false" customHeight="false" outlineLevel="0" collapsed="false">
      <c r="B8" s="7"/>
      <c r="C8" s="7"/>
      <c r="D8" s="7"/>
      <c r="E8" s="8"/>
      <c r="F8" s="8"/>
      <c r="G8" s="8"/>
      <c r="H8" s="9"/>
      <c r="I8" s="9"/>
      <c r="J8" s="9"/>
      <c r="K8" s="10"/>
      <c r="L8" s="10"/>
      <c r="M8" s="10"/>
    </row>
    <row r="9" customFormat="false" ht="15" hidden="false" customHeight="false" outlineLevel="0" collapsed="false">
      <c r="B9" s="7"/>
      <c r="C9" s="7"/>
      <c r="D9" s="7"/>
      <c r="E9" s="8"/>
      <c r="F9" s="8"/>
      <c r="G9" s="8"/>
      <c r="H9" s="9"/>
      <c r="I9" s="9"/>
      <c r="J9" s="9"/>
      <c r="K9" s="10"/>
      <c r="L9" s="10"/>
      <c r="M9" s="10"/>
    </row>
    <row r="11" customFormat="false" ht="15" hidden="false" customHeight="false" outlineLevel="0" collapsed="false">
      <c r="B11" s="11" t="s">
        <v>6</v>
      </c>
      <c r="D11" s="12" t="str">
        <f aca="false">INDEX(Sales_by_Region!A2:A6,MATCH(MAX(Sales_by_Region!B2:B6),Sales_by_Region!B2:B6,0))</f>
        <v>North</v>
      </c>
    </row>
    <row r="12" customFormat="false" ht="15" hidden="false" customHeight="false" outlineLevel="0" collapsed="false">
      <c r="B12" s="11" t="s">
        <v>7</v>
      </c>
      <c r="D12" s="12" t="str">
        <f aca="false">INDEX(Sales_by_Product!A2:A17,MATCH(MAX(Sales_by_Product!B2:B17),Sales_by_Product!B2:B17,0))</f>
        <v>Office Chair</v>
      </c>
    </row>
  </sheetData>
  <mergeCells count="10">
    <mergeCell ref="B2:M2"/>
    <mergeCell ref="B3:M3"/>
    <mergeCell ref="B5:D6"/>
    <mergeCell ref="E5:G6"/>
    <mergeCell ref="H5:J6"/>
    <mergeCell ref="K5:M6"/>
    <mergeCell ref="B7:D9"/>
    <mergeCell ref="E7:G9"/>
    <mergeCell ref="H7:J9"/>
    <mergeCell ref="K7:M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</row>
    <row r="2" customFormat="false" ht="15" hidden="false" customHeight="false" outlineLevel="0" collapsed="false">
      <c r="A2" s="0" t="n">
        <v>1014</v>
      </c>
      <c r="B2" s="0" t="s">
        <v>16</v>
      </c>
      <c r="C2" s="0" t="s">
        <v>17</v>
      </c>
      <c r="D2" s="0" t="s">
        <v>18</v>
      </c>
      <c r="E2" s="0" t="s">
        <v>19</v>
      </c>
      <c r="F2" s="0" t="n">
        <v>598.53</v>
      </c>
      <c r="G2" s="0" t="n">
        <v>545.06</v>
      </c>
      <c r="H2" s="0" t="n">
        <v>4</v>
      </c>
    </row>
    <row r="3" customFormat="false" ht="15" hidden="false" customHeight="false" outlineLevel="0" collapsed="false">
      <c r="A3" s="0" t="n">
        <v>1158</v>
      </c>
      <c r="B3" s="0" t="s">
        <v>20</v>
      </c>
      <c r="C3" s="0" t="s">
        <v>21</v>
      </c>
      <c r="D3" s="0" t="s">
        <v>22</v>
      </c>
      <c r="E3" s="0" t="s">
        <v>23</v>
      </c>
      <c r="F3" s="0" t="n">
        <v>1159.61</v>
      </c>
      <c r="G3" s="0" t="n">
        <v>607.55</v>
      </c>
      <c r="H3" s="0" t="n">
        <v>2</v>
      </c>
    </row>
    <row r="4" customFormat="false" ht="15" hidden="false" customHeight="false" outlineLevel="0" collapsed="false">
      <c r="A4" s="0" t="n">
        <v>1007</v>
      </c>
      <c r="B4" s="0" t="s">
        <v>24</v>
      </c>
      <c r="C4" s="0" t="s">
        <v>25</v>
      </c>
      <c r="D4" s="0" t="s">
        <v>26</v>
      </c>
      <c r="E4" s="0" t="s">
        <v>19</v>
      </c>
      <c r="F4" s="0" t="n">
        <v>75.2</v>
      </c>
      <c r="G4" s="0" t="n">
        <v>36.94</v>
      </c>
      <c r="H4" s="0" t="n">
        <v>2</v>
      </c>
    </row>
    <row r="5" customFormat="false" ht="15" hidden="false" customHeight="false" outlineLevel="0" collapsed="false">
      <c r="A5" s="0" t="n">
        <v>1250</v>
      </c>
      <c r="B5" s="0" t="s">
        <v>27</v>
      </c>
      <c r="C5" s="0" t="s">
        <v>25</v>
      </c>
      <c r="D5" s="0" t="s">
        <v>26</v>
      </c>
      <c r="E5" s="0" t="s">
        <v>19</v>
      </c>
      <c r="F5" s="0" t="n">
        <v>560.03</v>
      </c>
      <c r="G5" s="0" t="n">
        <v>2201.19</v>
      </c>
      <c r="H5" s="0" t="n">
        <v>12</v>
      </c>
    </row>
    <row r="6" customFormat="false" ht="15" hidden="false" customHeight="false" outlineLevel="0" collapsed="false">
      <c r="A6" s="0" t="n">
        <v>1064</v>
      </c>
      <c r="B6" s="0" t="s">
        <v>28</v>
      </c>
      <c r="C6" s="0" t="s">
        <v>17</v>
      </c>
      <c r="D6" s="0" t="s">
        <v>29</v>
      </c>
      <c r="E6" s="0" t="s">
        <v>30</v>
      </c>
      <c r="F6" s="0" t="n">
        <v>8934.52</v>
      </c>
      <c r="G6" s="0" t="n">
        <v>11778.88</v>
      </c>
      <c r="H6" s="0" t="n">
        <v>7</v>
      </c>
    </row>
    <row r="7" customFormat="false" ht="15" hidden="false" customHeight="false" outlineLevel="0" collapsed="false">
      <c r="A7" s="0" t="n">
        <v>1046</v>
      </c>
      <c r="B7" s="0" t="s">
        <v>31</v>
      </c>
      <c r="C7" s="0" t="s">
        <v>25</v>
      </c>
      <c r="D7" s="0" t="s">
        <v>32</v>
      </c>
      <c r="E7" s="0" t="s">
        <v>19</v>
      </c>
      <c r="F7" s="0" t="n">
        <v>539.34</v>
      </c>
      <c r="G7" s="0" t="n">
        <v>375.9</v>
      </c>
      <c r="H7" s="0" t="n">
        <v>2</v>
      </c>
    </row>
    <row r="8" customFormat="false" ht="15" hidden="false" customHeight="false" outlineLevel="0" collapsed="false">
      <c r="A8" s="0" t="n">
        <v>1204</v>
      </c>
      <c r="B8" s="0" t="s">
        <v>33</v>
      </c>
      <c r="C8" s="0" t="s">
        <v>25</v>
      </c>
      <c r="D8" s="0" t="s">
        <v>34</v>
      </c>
      <c r="E8" s="0" t="s">
        <v>35</v>
      </c>
      <c r="F8" s="0" t="n">
        <v>1645.06</v>
      </c>
      <c r="G8" s="0" t="n">
        <v>2736</v>
      </c>
      <c r="H8" s="0" t="n">
        <v>8</v>
      </c>
    </row>
    <row r="9" customFormat="false" ht="15" hidden="false" customHeight="false" outlineLevel="0" collapsed="false">
      <c r="A9" s="0" t="n">
        <v>1186</v>
      </c>
      <c r="B9" s="0" t="s">
        <v>36</v>
      </c>
      <c r="C9" s="0" t="s">
        <v>37</v>
      </c>
      <c r="D9" s="0" t="s">
        <v>29</v>
      </c>
      <c r="E9" s="0" t="s">
        <v>30</v>
      </c>
      <c r="F9" s="0" t="n">
        <v>5084.98</v>
      </c>
      <c r="G9" s="0" t="n">
        <v>1621.42</v>
      </c>
      <c r="H9" s="0" t="n">
        <v>2</v>
      </c>
    </row>
    <row r="10" customFormat="false" ht="15" hidden="false" customHeight="false" outlineLevel="0" collapsed="false">
      <c r="A10" s="0" t="n">
        <v>1269</v>
      </c>
      <c r="B10" s="0" t="s">
        <v>38</v>
      </c>
      <c r="C10" s="0" t="s">
        <v>37</v>
      </c>
      <c r="D10" s="0" t="s">
        <v>32</v>
      </c>
      <c r="E10" s="0" t="s">
        <v>19</v>
      </c>
      <c r="F10" s="0" t="n">
        <v>378.64</v>
      </c>
      <c r="G10" s="0" t="n">
        <v>1116.44</v>
      </c>
      <c r="H10" s="0" t="n">
        <v>8</v>
      </c>
    </row>
    <row r="11" customFormat="false" ht="15" hidden="false" customHeight="false" outlineLevel="0" collapsed="false">
      <c r="A11" s="0" t="n">
        <v>1283</v>
      </c>
      <c r="B11" s="0" t="s">
        <v>39</v>
      </c>
      <c r="C11" s="0" t="s">
        <v>37</v>
      </c>
      <c r="D11" s="0" t="s">
        <v>34</v>
      </c>
      <c r="E11" s="0" t="s">
        <v>35</v>
      </c>
      <c r="F11" s="0" t="n">
        <v>3430.34</v>
      </c>
      <c r="G11" s="0" t="n">
        <v>1721.75</v>
      </c>
      <c r="H11" s="0" t="n">
        <v>3</v>
      </c>
    </row>
    <row r="12" customFormat="false" ht="15" hidden="false" customHeight="false" outlineLevel="0" collapsed="false">
      <c r="A12" s="0" t="n">
        <v>1069</v>
      </c>
      <c r="B12" s="0" t="s">
        <v>40</v>
      </c>
      <c r="C12" s="0" t="s">
        <v>37</v>
      </c>
      <c r="D12" s="0" t="s">
        <v>34</v>
      </c>
      <c r="E12" s="0" t="s">
        <v>35</v>
      </c>
      <c r="F12" s="0" t="n">
        <v>5010.39</v>
      </c>
      <c r="G12" s="0" t="n">
        <v>5930.12</v>
      </c>
      <c r="H12" s="0" t="n">
        <v>7</v>
      </c>
    </row>
    <row r="13" customFormat="false" ht="15" hidden="false" customHeight="false" outlineLevel="0" collapsed="false">
      <c r="A13" s="0" t="n">
        <v>1015</v>
      </c>
      <c r="B13" s="0" t="s">
        <v>41</v>
      </c>
      <c r="C13" s="0" t="s">
        <v>37</v>
      </c>
      <c r="D13" s="0" t="s">
        <v>42</v>
      </c>
      <c r="E13" s="0" t="s">
        <v>35</v>
      </c>
      <c r="F13" s="0" t="n">
        <v>3898.02</v>
      </c>
      <c r="G13" s="0" t="n">
        <v>2280.92</v>
      </c>
      <c r="H13" s="0" t="n">
        <v>3</v>
      </c>
    </row>
    <row r="14" customFormat="false" ht="15" hidden="false" customHeight="false" outlineLevel="0" collapsed="false">
      <c r="A14" s="0" t="n">
        <v>1285</v>
      </c>
      <c r="B14" s="0" t="s">
        <v>43</v>
      </c>
      <c r="C14" s="0" t="s">
        <v>17</v>
      </c>
      <c r="D14" s="0" t="s">
        <v>26</v>
      </c>
      <c r="E14" s="0" t="s">
        <v>19</v>
      </c>
      <c r="F14" s="0" t="n">
        <v>203.45</v>
      </c>
      <c r="G14" s="0" t="n">
        <v>211.34</v>
      </c>
      <c r="H14" s="0" t="n">
        <v>4</v>
      </c>
    </row>
    <row r="15" customFormat="false" ht="15" hidden="false" customHeight="false" outlineLevel="0" collapsed="false">
      <c r="A15" s="0" t="n">
        <v>1089</v>
      </c>
      <c r="B15" s="0" t="s">
        <v>44</v>
      </c>
      <c r="C15" s="0" t="s">
        <v>25</v>
      </c>
      <c r="D15" s="0" t="s">
        <v>45</v>
      </c>
      <c r="E15" s="0" t="s">
        <v>35</v>
      </c>
      <c r="F15" s="0" t="n">
        <v>4169.64</v>
      </c>
      <c r="G15" s="0" t="n">
        <v>7308.09</v>
      </c>
      <c r="H15" s="0" t="n">
        <v>10</v>
      </c>
    </row>
    <row r="16" customFormat="false" ht="15" hidden="false" customHeight="false" outlineLevel="0" collapsed="false">
      <c r="A16" s="0" t="n">
        <v>1134</v>
      </c>
      <c r="B16" s="0" t="s">
        <v>46</v>
      </c>
      <c r="C16" s="0" t="s">
        <v>37</v>
      </c>
      <c r="D16" s="0" t="s">
        <v>47</v>
      </c>
      <c r="E16" s="0" t="s">
        <v>30</v>
      </c>
      <c r="F16" s="0" t="n">
        <v>11670.86</v>
      </c>
      <c r="G16" s="0" t="n">
        <v>12587.66</v>
      </c>
      <c r="H16" s="0" t="n">
        <v>9</v>
      </c>
    </row>
    <row r="17" customFormat="false" ht="15" hidden="false" customHeight="false" outlineLevel="0" collapsed="false">
      <c r="A17" s="0" t="n">
        <v>1309</v>
      </c>
      <c r="B17" s="0" t="s">
        <v>48</v>
      </c>
      <c r="C17" s="0" t="s">
        <v>25</v>
      </c>
      <c r="D17" s="0" t="s">
        <v>42</v>
      </c>
      <c r="E17" s="0" t="s">
        <v>35</v>
      </c>
      <c r="F17" s="0" t="n">
        <v>1591.05</v>
      </c>
      <c r="G17" s="0" t="n">
        <v>2052.39</v>
      </c>
      <c r="H17" s="0" t="n">
        <v>8</v>
      </c>
    </row>
    <row r="18" customFormat="false" ht="15" hidden="false" customHeight="false" outlineLevel="0" collapsed="false">
      <c r="A18" s="0" t="n">
        <v>1266</v>
      </c>
      <c r="B18" s="0" t="s">
        <v>49</v>
      </c>
      <c r="C18" s="0" t="s">
        <v>17</v>
      </c>
      <c r="D18" s="0" t="s">
        <v>18</v>
      </c>
      <c r="E18" s="0" t="s">
        <v>19</v>
      </c>
      <c r="F18" s="0" t="n">
        <v>497.41</v>
      </c>
      <c r="G18" s="0" t="n">
        <v>577.12</v>
      </c>
      <c r="H18" s="0" t="n">
        <v>3</v>
      </c>
    </row>
    <row r="19" customFormat="false" ht="15" hidden="false" customHeight="false" outlineLevel="0" collapsed="false">
      <c r="A19" s="0" t="n">
        <v>1019</v>
      </c>
      <c r="B19" s="0" t="s">
        <v>50</v>
      </c>
      <c r="C19" s="0" t="s">
        <v>37</v>
      </c>
      <c r="D19" s="0" t="s">
        <v>51</v>
      </c>
      <c r="E19" s="0" t="s">
        <v>19</v>
      </c>
      <c r="F19" s="0" t="n">
        <v>512.92</v>
      </c>
      <c r="G19" s="0" t="n">
        <v>773.31</v>
      </c>
      <c r="H19" s="0" t="n">
        <v>5</v>
      </c>
    </row>
    <row r="20" customFormat="false" ht="15" hidden="false" customHeight="false" outlineLevel="0" collapsed="false">
      <c r="A20" s="0" t="n">
        <v>1315</v>
      </c>
      <c r="B20" s="0" t="s">
        <v>52</v>
      </c>
      <c r="C20" s="0" t="s">
        <v>37</v>
      </c>
      <c r="D20" s="0" t="s">
        <v>53</v>
      </c>
      <c r="E20" s="0" t="s">
        <v>30</v>
      </c>
      <c r="F20" s="0" t="n">
        <v>6234.06</v>
      </c>
      <c r="G20" s="0" t="n">
        <v>5345.92</v>
      </c>
      <c r="H20" s="0" t="n">
        <v>9</v>
      </c>
    </row>
    <row r="21" customFormat="false" ht="15" hidden="false" customHeight="false" outlineLevel="0" collapsed="false">
      <c r="A21" s="0" t="n">
        <v>1062</v>
      </c>
      <c r="B21" s="0" t="s">
        <v>54</v>
      </c>
      <c r="C21" s="0" t="s">
        <v>17</v>
      </c>
      <c r="D21" s="0" t="s">
        <v>53</v>
      </c>
      <c r="E21" s="0" t="s">
        <v>30</v>
      </c>
      <c r="F21" s="0" t="n">
        <v>11247.32</v>
      </c>
      <c r="G21" s="0" t="n">
        <v>19149.29</v>
      </c>
      <c r="H21" s="0" t="n">
        <v>11</v>
      </c>
    </row>
    <row r="22" customFormat="false" ht="15" hidden="false" customHeight="false" outlineLevel="0" collapsed="false">
      <c r="A22" s="0" t="n">
        <v>1233</v>
      </c>
      <c r="B22" s="0" t="s">
        <v>55</v>
      </c>
      <c r="C22" s="0" t="s">
        <v>17</v>
      </c>
      <c r="D22" s="0" t="s">
        <v>34</v>
      </c>
      <c r="E22" s="0" t="s">
        <v>35</v>
      </c>
      <c r="F22" s="0" t="n">
        <v>4689.44</v>
      </c>
      <c r="G22" s="0" t="n">
        <v>1513.36</v>
      </c>
      <c r="H22" s="0" t="n">
        <v>3</v>
      </c>
    </row>
    <row r="23" customFormat="false" ht="15" hidden="false" customHeight="false" outlineLevel="0" collapsed="false">
      <c r="A23" s="0" t="n">
        <v>1048</v>
      </c>
      <c r="B23" s="0" t="s">
        <v>56</v>
      </c>
      <c r="C23" s="0" t="s">
        <v>21</v>
      </c>
      <c r="D23" s="0" t="s">
        <v>18</v>
      </c>
      <c r="E23" s="0" t="s">
        <v>19</v>
      </c>
      <c r="F23" s="0" t="n">
        <v>398.86</v>
      </c>
      <c r="G23" s="0" t="n">
        <v>291.86</v>
      </c>
      <c r="H23" s="0" t="n">
        <v>2</v>
      </c>
    </row>
    <row r="24" customFormat="false" ht="15" hidden="false" customHeight="false" outlineLevel="0" collapsed="false">
      <c r="A24" s="0" t="n">
        <v>1276</v>
      </c>
      <c r="B24" s="0" t="s">
        <v>57</v>
      </c>
      <c r="C24" s="0" t="s">
        <v>21</v>
      </c>
      <c r="D24" s="0" t="s">
        <v>53</v>
      </c>
      <c r="E24" s="0" t="s">
        <v>30</v>
      </c>
      <c r="F24" s="0" t="n">
        <v>11910.85</v>
      </c>
      <c r="G24" s="0" t="n">
        <v>14067.05</v>
      </c>
      <c r="H24" s="0" t="n">
        <v>7</v>
      </c>
    </row>
    <row r="25" customFormat="false" ht="15" hidden="false" customHeight="false" outlineLevel="0" collapsed="false">
      <c r="A25" s="0" t="n">
        <v>1113</v>
      </c>
      <c r="B25" s="0" t="s">
        <v>58</v>
      </c>
      <c r="C25" s="0" t="s">
        <v>37</v>
      </c>
      <c r="D25" s="0" t="s">
        <v>47</v>
      </c>
      <c r="E25" s="0" t="s">
        <v>30</v>
      </c>
      <c r="F25" s="0" t="n">
        <v>8652.53</v>
      </c>
      <c r="G25" s="0" t="n">
        <v>6541.64</v>
      </c>
      <c r="H25" s="0" t="n">
        <v>4</v>
      </c>
    </row>
    <row r="26" customFormat="false" ht="15" hidden="false" customHeight="false" outlineLevel="0" collapsed="false">
      <c r="A26" s="0" t="n">
        <v>1085</v>
      </c>
      <c r="B26" s="0" t="s">
        <v>59</v>
      </c>
      <c r="C26" s="0" t="s">
        <v>25</v>
      </c>
      <c r="D26" s="0" t="s">
        <v>60</v>
      </c>
      <c r="E26" s="0" t="s">
        <v>23</v>
      </c>
      <c r="F26" s="0" t="n">
        <v>3690.56</v>
      </c>
      <c r="G26" s="0" t="n">
        <v>1655.44</v>
      </c>
      <c r="H26" s="0" t="n">
        <v>2</v>
      </c>
    </row>
    <row r="27" customFormat="false" ht="15" hidden="false" customHeight="false" outlineLevel="0" collapsed="false">
      <c r="A27" s="0" t="n">
        <v>1248</v>
      </c>
      <c r="B27" s="0" t="s">
        <v>61</v>
      </c>
      <c r="C27" s="0" t="s">
        <v>37</v>
      </c>
      <c r="D27" s="0" t="s">
        <v>42</v>
      </c>
      <c r="E27" s="0" t="s">
        <v>35</v>
      </c>
      <c r="F27" s="0" t="n">
        <v>3143.78</v>
      </c>
      <c r="G27" s="0" t="n">
        <v>1306.82</v>
      </c>
      <c r="H27" s="0" t="n">
        <v>2</v>
      </c>
    </row>
    <row r="28" customFormat="false" ht="15" hidden="false" customHeight="false" outlineLevel="0" collapsed="false">
      <c r="A28" s="0" t="n">
        <v>1187</v>
      </c>
      <c r="B28" s="0" t="s">
        <v>62</v>
      </c>
      <c r="C28" s="0" t="s">
        <v>17</v>
      </c>
      <c r="D28" s="0" t="s">
        <v>34</v>
      </c>
      <c r="E28" s="0" t="s">
        <v>35</v>
      </c>
      <c r="F28" s="0" t="n">
        <v>2126.95</v>
      </c>
      <c r="G28" s="0" t="n">
        <v>1717.32</v>
      </c>
      <c r="H28" s="0" t="n">
        <v>5</v>
      </c>
    </row>
    <row r="29" customFormat="false" ht="15" hidden="false" customHeight="false" outlineLevel="0" collapsed="false">
      <c r="A29" s="0" t="n">
        <v>1143</v>
      </c>
      <c r="B29" s="0" t="s">
        <v>63</v>
      </c>
      <c r="C29" s="0" t="s">
        <v>25</v>
      </c>
      <c r="D29" s="0" t="s">
        <v>47</v>
      </c>
      <c r="E29" s="0" t="s">
        <v>30</v>
      </c>
      <c r="F29" s="0" t="n">
        <v>8560.09</v>
      </c>
      <c r="G29" s="0" t="n">
        <v>9255.06</v>
      </c>
      <c r="H29" s="0" t="n">
        <v>8</v>
      </c>
    </row>
    <row r="30" customFormat="false" ht="15" hidden="false" customHeight="false" outlineLevel="0" collapsed="false">
      <c r="A30" s="0" t="n">
        <v>1056</v>
      </c>
      <c r="B30" s="0" t="s">
        <v>64</v>
      </c>
      <c r="C30" s="0" t="s">
        <v>25</v>
      </c>
      <c r="D30" s="0" t="s">
        <v>42</v>
      </c>
      <c r="E30" s="0" t="s">
        <v>35</v>
      </c>
      <c r="F30" s="0" t="n">
        <v>2512.32</v>
      </c>
      <c r="G30" s="0" t="n">
        <v>2946.07</v>
      </c>
      <c r="H30" s="0" t="n">
        <v>6</v>
      </c>
    </row>
    <row r="31" customFormat="false" ht="15" hidden="false" customHeight="false" outlineLevel="0" collapsed="false">
      <c r="A31" s="0" t="n">
        <v>1067</v>
      </c>
      <c r="B31" s="0" t="s">
        <v>65</v>
      </c>
      <c r="C31" s="0" t="s">
        <v>21</v>
      </c>
      <c r="D31" s="0" t="s">
        <v>66</v>
      </c>
      <c r="E31" s="0" t="s">
        <v>30</v>
      </c>
      <c r="F31" s="0" t="n">
        <v>8512.94</v>
      </c>
      <c r="G31" s="0" t="n">
        <v>11257.92</v>
      </c>
      <c r="H31" s="0" t="n">
        <v>11</v>
      </c>
    </row>
    <row r="32" customFormat="false" ht="15" hidden="false" customHeight="false" outlineLevel="0" collapsed="false">
      <c r="A32" s="0" t="n">
        <v>1221</v>
      </c>
      <c r="B32" s="0" t="s">
        <v>67</v>
      </c>
      <c r="C32" s="0" t="s">
        <v>25</v>
      </c>
      <c r="D32" s="0" t="s">
        <v>42</v>
      </c>
      <c r="E32" s="0" t="s">
        <v>35</v>
      </c>
      <c r="F32" s="0" t="n">
        <v>5201.03</v>
      </c>
      <c r="G32" s="0" t="n">
        <v>4674.3</v>
      </c>
      <c r="H32" s="0" t="n">
        <v>6</v>
      </c>
    </row>
    <row r="33" customFormat="false" ht="15" hidden="false" customHeight="false" outlineLevel="0" collapsed="false">
      <c r="A33" s="0" t="n">
        <v>1002</v>
      </c>
      <c r="B33" s="0" t="s">
        <v>68</v>
      </c>
      <c r="C33" s="0" t="s">
        <v>17</v>
      </c>
      <c r="D33" s="0" t="s">
        <v>69</v>
      </c>
      <c r="E33" s="0" t="s">
        <v>23</v>
      </c>
      <c r="F33" s="0" t="n">
        <v>1146.67</v>
      </c>
      <c r="G33" s="0" t="n">
        <v>180.29</v>
      </c>
      <c r="H33" s="0" t="n">
        <v>1</v>
      </c>
    </row>
    <row r="34" customFormat="false" ht="15" hidden="false" customHeight="false" outlineLevel="0" collapsed="false">
      <c r="A34" s="0" t="n">
        <v>1013</v>
      </c>
      <c r="B34" s="0" t="s">
        <v>70</v>
      </c>
      <c r="C34" s="0" t="s">
        <v>17</v>
      </c>
      <c r="D34" s="0" t="s">
        <v>45</v>
      </c>
      <c r="E34" s="0" t="s">
        <v>35</v>
      </c>
      <c r="F34" s="0" t="n">
        <v>1800.41</v>
      </c>
      <c r="G34" s="0" t="n">
        <v>1704.98</v>
      </c>
      <c r="H34" s="0" t="n">
        <v>5</v>
      </c>
    </row>
    <row r="35" customFormat="false" ht="15" hidden="false" customHeight="false" outlineLevel="0" collapsed="false">
      <c r="A35" s="0" t="n">
        <v>1212</v>
      </c>
      <c r="B35" s="0" t="s">
        <v>71</v>
      </c>
      <c r="C35" s="0" t="s">
        <v>25</v>
      </c>
      <c r="D35" s="0" t="s">
        <v>18</v>
      </c>
      <c r="E35" s="0" t="s">
        <v>19</v>
      </c>
      <c r="F35" s="0" t="n">
        <v>135.22</v>
      </c>
      <c r="G35" s="0" t="n">
        <v>105.13</v>
      </c>
      <c r="H35" s="0" t="n">
        <v>3</v>
      </c>
    </row>
    <row r="36" customFormat="false" ht="15" hidden="false" customHeight="false" outlineLevel="0" collapsed="false">
      <c r="A36" s="0" t="n">
        <v>1245</v>
      </c>
      <c r="B36" s="0" t="s">
        <v>72</v>
      </c>
      <c r="C36" s="0" t="s">
        <v>25</v>
      </c>
      <c r="D36" s="0" t="s">
        <v>69</v>
      </c>
      <c r="E36" s="0" t="s">
        <v>23</v>
      </c>
      <c r="F36" s="0" t="n">
        <v>2272.73</v>
      </c>
      <c r="G36" s="0" t="n">
        <v>3053.59</v>
      </c>
      <c r="H36" s="0" t="n">
        <v>6</v>
      </c>
    </row>
    <row r="37" customFormat="false" ht="15" hidden="false" customHeight="false" outlineLevel="0" collapsed="false">
      <c r="A37" s="0" t="n">
        <v>1073</v>
      </c>
      <c r="B37" s="0" t="s">
        <v>73</v>
      </c>
      <c r="C37" s="0" t="s">
        <v>17</v>
      </c>
      <c r="D37" s="0" t="s">
        <v>18</v>
      </c>
      <c r="E37" s="0" t="s">
        <v>19</v>
      </c>
      <c r="F37" s="0" t="n">
        <v>543.46</v>
      </c>
      <c r="G37" s="0" t="n">
        <v>1516.17</v>
      </c>
      <c r="H37" s="0" t="n">
        <v>8</v>
      </c>
    </row>
    <row r="38" customFormat="false" ht="15" hidden="false" customHeight="false" outlineLevel="0" collapsed="false">
      <c r="A38" s="0" t="n">
        <v>1101</v>
      </c>
      <c r="B38" s="0" t="s">
        <v>74</v>
      </c>
      <c r="C38" s="0" t="s">
        <v>37</v>
      </c>
      <c r="D38" s="0" t="s">
        <v>53</v>
      </c>
      <c r="E38" s="0" t="s">
        <v>30</v>
      </c>
      <c r="F38" s="0" t="n">
        <v>4258.92</v>
      </c>
      <c r="G38" s="0" t="n">
        <v>5415.62</v>
      </c>
      <c r="H38" s="0" t="n">
        <v>12</v>
      </c>
    </row>
    <row r="39" customFormat="false" ht="15" hidden="false" customHeight="false" outlineLevel="0" collapsed="false">
      <c r="A39" s="0" t="n">
        <v>1092</v>
      </c>
      <c r="B39" s="0" t="s">
        <v>75</v>
      </c>
      <c r="C39" s="0" t="s">
        <v>25</v>
      </c>
      <c r="D39" s="0" t="s">
        <v>18</v>
      </c>
      <c r="E39" s="0" t="s">
        <v>19</v>
      </c>
      <c r="F39" s="0" t="n">
        <v>453.59</v>
      </c>
      <c r="G39" s="0" t="n">
        <v>534.91</v>
      </c>
      <c r="H39" s="0" t="n">
        <v>3</v>
      </c>
    </row>
    <row r="40" customFormat="false" ht="15" hidden="false" customHeight="false" outlineLevel="0" collapsed="false">
      <c r="A40" s="0" t="n">
        <v>1044</v>
      </c>
      <c r="B40" s="0" t="s">
        <v>76</v>
      </c>
      <c r="C40" s="0" t="s">
        <v>25</v>
      </c>
      <c r="D40" s="0" t="s">
        <v>53</v>
      </c>
      <c r="E40" s="0" t="s">
        <v>30</v>
      </c>
      <c r="F40" s="0" t="n">
        <v>10853.07</v>
      </c>
      <c r="G40" s="0" t="n">
        <v>2699.01</v>
      </c>
      <c r="H40" s="0" t="n">
        <v>2</v>
      </c>
    </row>
    <row r="41" customFormat="false" ht="15" hidden="false" customHeight="false" outlineLevel="0" collapsed="false">
      <c r="A41" s="0" t="n">
        <v>1296</v>
      </c>
      <c r="B41" s="0" t="s">
        <v>77</v>
      </c>
      <c r="C41" s="0" t="s">
        <v>37</v>
      </c>
      <c r="D41" s="0" t="s">
        <v>32</v>
      </c>
      <c r="E41" s="0" t="s">
        <v>19</v>
      </c>
      <c r="F41" s="0" t="n">
        <v>381.53</v>
      </c>
      <c r="G41" s="0" t="n">
        <v>1471.53</v>
      </c>
      <c r="H41" s="0" t="n">
        <v>10</v>
      </c>
    </row>
    <row r="42" customFormat="false" ht="15" hidden="false" customHeight="false" outlineLevel="0" collapsed="false">
      <c r="A42" s="0" t="n">
        <v>1183</v>
      </c>
      <c r="B42" s="0" t="s">
        <v>78</v>
      </c>
      <c r="C42" s="0" t="s">
        <v>37</v>
      </c>
      <c r="D42" s="0" t="s">
        <v>26</v>
      </c>
      <c r="E42" s="0" t="s">
        <v>19</v>
      </c>
      <c r="F42" s="0" t="n">
        <v>361.48</v>
      </c>
      <c r="G42" s="0" t="n">
        <v>303.81</v>
      </c>
      <c r="H42" s="0" t="n">
        <v>3</v>
      </c>
    </row>
    <row r="43" customFormat="false" ht="15" hidden="false" customHeight="false" outlineLevel="0" collapsed="false">
      <c r="A43" s="0" t="n">
        <v>1227</v>
      </c>
      <c r="B43" s="0" t="s">
        <v>79</v>
      </c>
      <c r="C43" s="0" t="s">
        <v>37</v>
      </c>
      <c r="D43" s="0" t="s">
        <v>42</v>
      </c>
      <c r="E43" s="0" t="s">
        <v>35</v>
      </c>
      <c r="F43" s="0" t="n">
        <v>3505.03</v>
      </c>
      <c r="G43" s="0" t="n">
        <v>6163.06</v>
      </c>
      <c r="H43" s="0" t="n">
        <v>10</v>
      </c>
    </row>
    <row r="44" customFormat="false" ht="15" hidden="false" customHeight="false" outlineLevel="0" collapsed="false">
      <c r="A44" s="0" t="n">
        <v>1299</v>
      </c>
      <c r="B44" s="0" t="s">
        <v>80</v>
      </c>
      <c r="C44" s="0" t="s">
        <v>37</v>
      </c>
      <c r="D44" s="0" t="s">
        <v>51</v>
      </c>
      <c r="E44" s="0" t="s">
        <v>19</v>
      </c>
      <c r="F44" s="0" t="n">
        <v>362.28</v>
      </c>
      <c r="G44" s="0" t="n">
        <v>636.63</v>
      </c>
      <c r="H44" s="0" t="n">
        <v>5</v>
      </c>
    </row>
    <row r="45" customFormat="false" ht="15" hidden="false" customHeight="false" outlineLevel="0" collapsed="false">
      <c r="A45" s="0" t="n">
        <v>1228</v>
      </c>
      <c r="B45" s="0" t="s">
        <v>81</v>
      </c>
      <c r="C45" s="0" t="s">
        <v>21</v>
      </c>
      <c r="D45" s="0" t="s">
        <v>29</v>
      </c>
      <c r="E45" s="0" t="s">
        <v>30</v>
      </c>
      <c r="F45" s="0" t="n">
        <v>8340.69</v>
      </c>
      <c r="G45" s="0" t="n">
        <v>908.03</v>
      </c>
      <c r="H45" s="0" t="n">
        <v>1</v>
      </c>
    </row>
    <row r="46" customFormat="false" ht="15" hidden="false" customHeight="false" outlineLevel="0" collapsed="false">
      <c r="A46" s="0" t="n">
        <v>1205</v>
      </c>
      <c r="B46" s="0" t="s">
        <v>82</v>
      </c>
      <c r="C46" s="0" t="s">
        <v>25</v>
      </c>
      <c r="D46" s="0" t="s">
        <v>32</v>
      </c>
      <c r="E46" s="0" t="s">
        <v>19</v>
      </c>
      <c r="F46" s="0" t="n">
        <v>439.19</v>
      </c>
      <c r="G46" s="0" t="n">
        <v>699.54</v>
      </c>
      <c r="H46" s="0" t="n">
        <v>4</v>
      </c>
    </row>
    <row r="47" customFormat="false" ht="15" hidden="false" customHeight="false" outlineLevel="0" collapsed="false">
      <c r="A47" s="0" t="n">
        <v>1293</v>
      </c>
      <c r="B47" s="0" t="s">
        <v>83</v>
      </c>
      <c r="C47" s="0" t="s">
        <v>25</v>
      </c>
      <c r="D47" s="0" t="s">
        <v>34</v>
      </c>
      <c r="E47" s="0" t="s">
        <v>35</v>
      </c>
      <c r="F47" s="0" t="n">
        <v>2427.29</v>
      </c>
      <c r="G47" s="0" t="n">
        <v>1559.77</v>
      </c>
      <c r="H47" s="0" t="n">
        <v>6</v>
      </c>
    </row>
    <row r="48" customFormat="false" ht="15" hidden="false" customHeight="false" outlineLevel="0" collapsed="false">
      <c r="A48" s="0" t="n">
        <v>1035</v>
      </c>
      <c r="B48" s="0" t="s">
        <v>84</v>
      </c>
      <c r="C48" s="0" t="s">
        <v>17</v>
      </c>
      <c r="D48" s="0" t="s">
        <v>85</v>
      </c>
      <c r="E48" s="0" t="s">
        <v>23</v>
      </c>
      <c r="F48" s="0" t="n">
        <v>1781.25</v>
      </c>
      <c r="G48" s="0" t="n">
        <v>3060.47</v>
      </c>
      <c r="H48" s="0" t="n">
        <v>7</v>
      </c>
    </row>
    <row r="49" customFormat="false" ht="15" hidden="false" customHeight="false" outlineLevel="0" collapsed="false">
      <c r="A49" s="0" t="n">
        <v>1210</v>
      </c>
      <c r="B49" s="0" t="s">
        <v>86</v>
      </c>
      <c r="C49" s="0" t="s">
        <v>21</v>
      </c>
      <c r="D49" s="0" t="s">
        <v>34</v>
      </c>
      <c r="E49" s="0" t="s">
        <v>35</v>
      </c>
      <c r="F49" s="0" t="n">
        <v>4222.17</v>
      </c>
      <c r="G49" s="0" t="n">
        <v>9922.87</v>
      </c>
      <c r="H49" s="0" t="n">
        <v>11</v>
      </c>
    </row>
    <row r="50" customFormat="false" ht="15" hidden="false" customHeight="false" outlineLevel="0" collapsed="false">
      <c r="A50" s="0" t="n">
        <v>1034</v>
      </c>
      <c r="B50" s="0" t="s">
        <v>87</v>
      </c>
      <c r="C50" s="0" t="s">
        <v>25</v>
      </c>
      <c r="D50" s="0" t="s">
        <v>85</v>
      </c>
      <c r="E50" s="0" t="s">
        <v>23</v>
      </c>
      <c r="F50" s="0" t="n">
        <v>2581.03</v>
      </c>
      <c r="G50" s="0" t="n">
        <v>5334.35</v>
      </c>
      <c r="H50" s="0" t="n">
        <v>8</v>
      </c>
    </row>
    <row r="51" customFormat="false" ht="15" hidden="false" customHeight="false" outlineLevel="0" collapsed="false">
      <c r="A51" s="0" t="n">
        <v>1185</v>
      </c>
      <c r="B51" s="0" t="s">
        <v>88</v>
      </c>
      <c r="C51" s="0" t="s">
        <v>21</v>
      </c>
      <c r="D51" s="0" t="s">
        <v>53</v>
      </c>
      <c r="E51" s="0" t="s">
        <v>30</v>
      </c>
      <c r="F51" s="0" t="n">
        <v>8164.13</v>
      </c>
      <c r="G51" s="0" t="n">
        <v>15185.37</v>
      </c>
      <c r="H51" s="0" t="n">
        <v>10</v>
      </c>
    </row>
    <row r="52" customFormat="false" ht="15" hidden="false" customHeight="false" outlineLevel="0" collapsed="false">
      <c r="A52" s="0" t="n">
        <v>1216</v>
      </c>
      <c r="B52" s="0" t="s">
        <v>89</v>
      </c>
      <c r="C52" s="0" t="s">
        <v>21</v>
      </c>
      <c r="D52" s="0" t="s">
        <v>34</v>
      </c>
      <c r="E52" s="0" t="s">
        <v>35</v>
      </c>
      <c r="F52" s="0" t="n">
        <v>3496.25</v>
      </c>
      <c r="G52" s="0" t="n">
        <v>1917.85</v>
      </c>
      <c r="H52" s="0" t="n">
        <v>4</v>
      </c>
    </row>
    <row r="53" customFormat="false" ht="15" hidden="false" customHeight="false" outlineLevel="0" collapsed="false">
      <c r="A53" s="0" t="n">
        <v>1255</v>
      </c>
      <c r="B53" s="0" t="s">
        <v>90</v>
      </c>
      <c r="C53" s="0" t="s">
        <v>25</v>
      </c>
      <c r="D53" s="0" t="s">
        <v>51</v>
      </c>
      <c r="E53" s="0" t="s">
        <v>19</v>
      </c>
      <c r="F53" s="0" t="n">
        <v>326.58</v>
      </c>
      <c r="G53" s="0" t="n">
        <v>854.17</v>
      </c>
      <c r="H53" s="0" t="n">
        <v>7</v>
      </c>
    </row>
    <row r="54" customFormat="false" ht="15" hidden="false" customHeight="false" outlineLevel="0" collapsed="false">
      <c r="A54" s="0" t="n">
        <v>1025</v>
      </c>
      <c r="B54" s="0" t="s">
        <v>91</v>
      </c>
      <c r="C54" s="0" t="s">
        <v>21</v>
      </c>
      <c r="D54" s="0" t="s">
        <v>34</v>
      </c>
      <c r="E54" s="0" t="s">
        <v>35</v>
      </c>
      <c r="F54" s="0" t="n">
        <v>3141.39</v>
      </c>
      <c r="G54" s="0" t="n">
        <v>3668.32</v>
      </c>
      <c r="H54" s="0" t="n">
        <v>9</v>
      </c>
    </row>
    <row r="55" customFormat="false" ht="15" hidden="false" customHeight="false" outlineLevel="0" collapsed="false">
      <c r="A55" s="0" t="n">
        <v>1174</v>
      </c>
      <c r="B55" s="0" t="s">
        <v>92</v>
      </c>
      <c r="C55" s="0" t="s">
        <v>37</v>
      </c>
      <c r="D55" s="0" t="s">
        <v>42</v>
      </c>
      <c r="E55" s="0" t="s">
        <v>35</v>
      </c>
      <c r="F55" s="0" t="n">
        <v>4974.14</v>
      </c>
      <c r="G55" s="0" t="n">
        <v>9091.55</v>
      </c>
      <c r="H55" s="0" t="n">
        <v>11</v>
      </c>
    </row>
    <row r="56" customFormat="false" ht="15" hidden="false" customHeight="false" outlineLevel="0" collapsed="false">
      <c r="A56" s="0" t="n">
        <v>1083</v>
      </c>
      <c r="B56" s="0" t="s">
        <v>93</v>
      </c>
      <c r="C56" s="0" t="s">
        <v>21</v>
      </c>
      <c r="D56" s="0" t="s">
        <v>66</v>
      </c>
      <c r="E56" s="0" t="s">
        <v>30</v>
      </c>
      <c r="F56" s="0" t="n">
        <v>4510.77</v>
      </c>
      <c r="G56" s="0" t="n">
        <v>3226.68</v>
      </c>
      <c r="H56" s="0" t="n">
        <v>6</v>
      </c>
    </row>
    <row r="57" customFormat="false" ht="15" hidden="false" customHeight="false" outlineLevel="0" collapsed="false">
      <c r="A57" s="0" t="n">
        <v>1071</v>
      </c>
      <c r="B57" s="0" t="s">
        <v>94</v>
      </c>
      <c r="C57" s="0" t="s">
        <v>25</v>
      </c>
      <c r="D57" s="0" t="s">
        <v>95</v>
      </c>
      <c r="E57" s="0" t="s">
        <v>23</v>
      </c>
      <c r="F57" s="0" t="n">
        <v>2716.44</v>
      </c>
      <c r="G57" s="0" t="n">
        <v>4173.59</v>
      </c>
      <c r="H57" s="0" t="n">
        <v>12</v>
      </c>
    </row>
    <row r="58" customFormat="false" ht="15" hidden="false" customHeight="false" outlineLevel="0" collapsed="false">
      <c r="A58" s="0" t="n">
        <v>1239</v>
      </c>
      <c r="B58" s="0" t="s">
        <v>96</v>
      </c>
      <c r="C58" s="0" t="s">
        <v>21</v>
      </c>
      <c r="D58" s="0" t="s">
        <v>53</v>
      </c>
      <c r="E58" s="0" t="s">
        <v>30</v>
      </c>
      <c r="F58" s="0" t="n">
        <v>5615.24</v>
      </c>
      <c r="G58" s="0" t="n">
        <v>1296.86</v>
      </c>
      <c r="H58" s="0" t="n">
        <v>2</v>
      </c>
    </row>
    <row r="59" customFormat="false" ht="15" hidden="false" customHeight="false" outlineLevel="0" collapsed="false">
      <c r="A59" s="0" t="n">
        <v>1065</v>
      </c>
      <c r="B59" s="0" t="s">
        <v>97</v>
      </c>
      <c r="C59" s="0" t="s">
        <v>37</v>
      </c>
      <c r="D59" s="0" t="s">
        <v>18</v>
      </c>
      <c r="E59" s="0" t="s">
        <v>19</v>
      </c>
      <c r="F59" s="0" t="n">
        <v>165.6</v>
      </c>
      <c r="G59" s="0" t="n">
        <v>295.72</v>
      </c>
      <c r="H59" s="0" t="n">
        <v>5</v>
      </c>
    </row>
    <row r="60" customFormat="false" ht="15" hidden="false" customHeight="false" outlineLevel="0" collapsed="false">
      <c r="A60" s="0" t="n">
        <v>1280</v>
      </c>
      <c r="B60" s="0" t="s">
        <v>98</v>
      </c>
      <c r="C60" s="0" t="s">
        <v>17</v>
      </c>
      <c r="D60" s="0" t="s">
        <v>66</v>
      </c>
      <c r="E60" s="0" t="s">
        <v>30</v>
      </c>
      <c r="F60" s="0" t="n">
        <v>8475.74</v>
      </c>
      <c r="G60" s="0" t="n">
        <v>11775.47</v>
      </c>
      <c r="H60" s="0" t="n">
        <v>9</v>
      </c>
    </row>
    <row r="61" customFormat="false" ht="15" hidden="false" customHeight="false" outlineLevel="0" collapsed="false">
      <c r="A61" s="0" t="n">
        <v>1047</v>
      </c>
      <c r="B61" s="0" t="s">
        <v>99</v>
      </c>
      <c r="C61" s="0" t="s">
        <v>21</v>
      </c>
      <c r="D61" s="0" t="s">
        <v>53</v>
      </c>
      <c r="E61" s="0" t="s">
        <v>30</v>
      </c>
      <c r="F61" s="0" t="n">
        <v>9317.32</v>
      </c>
      <c r="G61" s="0" t="n">
        <v>3892.09</v>
      </c>
      <c r="H61" s="0" t="n">
        <v>4</v>
      </c>
    </row>
    <row r="62" customFormat="false" ht="15" hidden="false" customHeight="false" outlineLevel="0" collapsed="false">
      <c r="A62" s="0" t="n">
        <v>1318</v>
      </c>
      <c r="B62" s="0" t="s">
        <v>100</v>
      </c>
      <c r="C62" s="0" t="s">
        <v>17</v>
      </c>
      <c r="D62" s="0" t="s">
        <v>22</v>
      </c>
      <c r="E62" s="0" t="s">
        <v>23</v>
      </c>
      <c r="F62" s="0" t="n">
        <v>1690.47</v>
      </c>
      <c r="G62" s="0" t="n">
        <v>221.06</v>
      </c>
      <c r="H62" s="0" t="n">
        <v>1</v>
      </c>
    </row>
    <row r="63" customFormat="false" ht="15" hidden="false" customHeight="false" outlineLevel="0" collapsed="false">
      <c r="A63" s="0" t="n">
        <v>1012</v>
      </c>
      <c r="B63" s="0" t="s">
        <v>101</v>
      </c>
      <c r="C63" s="0" t="s">
        <v>37</v>
      </c>
      <c r="D63" s="0" t="s">
        <v>45</v>
      </c>
      <c r="E63" s="0" t="s">
        <v>35</v>
      </c>
      <c r="F63" s="0" t="n">
        <v>4968.38</v>
      </c>
      <c r="G63" s="0" t="n">
        <v>6844.51</v>
      </c>
      <c r="H63" s="0" t="n">
        <v>10</v>
      </c>
    </row>
    <row r="64" customFormat="false" ht="15" hidden="false" customHeight="false" outlineLevel="0" collapsed="false">
      <c r="A64" s="0" t="n">
        <v>1124</v>
      </c>
      <c r="B64" s="0" t="s">
        <v>102</v>
      </c>
      <c r="C64" s="0" t="s">
        <v>25</v>
      </c>
      <c r="D64" s="0" t="s">
        <v>42</v>
      </c>
      <c r="E64" s="0" t="s">
        <v>35</v>
      </c>
      <c r="F64" s="0" t="n">
        <v>1763.36</v>
      </c>
      <c r="G64" s="0" t="n">
        <v>2135.55</v>
      </c>
      <c r="H64" s="0" t="n">
        <v>9</v>
      </c>
    </row>
    <row r="65" customFormat="false" ht="15" hidden="false" customHeight="false" outlineLevel="0" collapsed="false">
      <c r="A65" s="0" t="n">
        <v>1147</v>
      </c>
      <c r="B65" s="0" t="s">
        <v>103</v>
      </c>
      <c r="C65" s="0" t="s">
        <v>17</v>
      </c>
      <c r="D65" s="0" t="s">
        <v>32</v>
      </c>
      <c r="E65" s="0" t="s">
        <v>19</v>
      </c>
      <c r="F65" s="0" t="n">
        <v>361.26</v>
      </c>
      <c r="G65" s="0" t="n">
        <v>121.8</v>
      </c>
      <c r="H65" s="0" t="n">
        <v>1</v>
      </c>
    </row>
    <row r="66" customFormat="false" ht="15" hidden="false" customHeight="false" outlineLevel="0" collapsed="false">
      <c r="A66" s="0" t="n">
        <v>1104</v>
      </c>
      <c r="B66" s="0" t="s">
        <v>104</v>
      </c>
      <c r="C66" s="0" t="s">
        <v>37</v>
      </c>
      <c r="D66" s="0" t="s">
        <v>47</v>
      </c>
      <c r="E66" s="0" t="s">
        <v>30</v>
      </c>
      <c r="F66" s="0" t="n">
        <v>5201.22</v>
      </c>
      <c r="G66" s="0" t="n">
        <v>7148.85</v>
      </c>
      <c r="H66" s="0" t="n">
        <v>10</v>
      </c>
    </row>
    <row r="67" customFormat="false" ht="15" hidden="false" customHeight="false" outlineLevel="0" collapsed="false">
      <c r="A67" s="0" t="n">
        <v>1124</v>
      </c>
      <c r="B67" s="0" t="s">
        <v>102</v>
      </c>
      <c r="C67" s="0" t="s">
        <v>25</v>
      </c>
      <c r="D67" s="0" t="s">
        <v>42</v>
      </c>
      <c r="E67" s="0" t="s">
        <v>35</v>
      </c>
      <c r="F67" s="0" t="n">
        <v>1763.36</v>
      </c>
      <c r="G67" s="0" t="n">
        <v>2135.55</v>
      </c>
      <c r="H67" s="0" t="n">
        <v>9</v>
      </c>
    </row>
    <row r="68" customFormat="false" ht="15" hidden="false" customHeight="false" outlineLevel="0" collapsed="false">
      <c r="A68" s="0" t="n">
        <v>1247</v>
      </c>
      <c r="B68" s="0" t="s">
        <v>24</v>
      </c>
      <c r="C68" s="0" t="s">
        <v>21</v>
      </c>
      <c r="D68" s="0" t="s">
        <v>60</v>
      </c>
      <c r="E68" s="0" t="s">
        <v>23</v>
      </c>
      <c r="F68" s="0" t="n">
        <v>1593.91</v>
      </c>
      <c r="G68" s="0" t="n">
        <v>2778.51</v>
      </c>
      <c r="H68" s="0" t="n">
        <v>8</v>
      </c>
    </row>
    <row r="69" customFormat="false" ht="15" hidden="false" customHeight="false" outlineLevel="0" collapsed="false">
      <c r="A69" s="0" t="n">
        <v>1094</v>
      </c>
      <c r="B69" s="0" t="s">
        <v>67</v>
      </c>
      <c r="C69" s="0" t="s">
        <v>21</v>
      </c>
      <c r="D69" s="0" t="s">
        <v>66</v>
      </c>
      <c r="E69" s="0" t="s">
        <v>30</v>
      </c>
      <c r="F69" s="0" t="n">
        <v>9629.52</v>
      </c>
      <c r="G69" s="0" t="n">
        <v>5715.39</v>
      </c>
      <c r="H69" s="0" t="n">
        <v>4</v>
      </c>
    </row>
    <row r="70" customFormat="false" ht="15" hidden="false" customHeight="false" outlineLevel="0" collapsed="false">
      <c r="A70" s="0" t="n">
        <v>1164</v>
      </c>
      <c r="B70" s="0" t="s">
        <v>105</v>
      </c>
      <c r="C70" s="0" t="s">
        <v>25</v>
      </c>
      <c r="D70" s="0" t="s">
        <v>42</v>
      </c>
      <c r="E70" s="0" t="s">
        <v>35</v>
      </c>
      <c r="F70" s="0" t="n">
        <v>3767.73</v>
      </c>
      <c r="G70" s="0" t="n">
        <v>4250.72</v>
      </c>
      <c r="H70" s="0" t="n">
        <v>11</v>
      </c>
    </row>
    <row r="71" customFormat="false" ht="15" hidden="false" customHeight="false" outlineLevel="0" collapsed="false">
      <c r="A71" s="0" t="n">
        <v>1154</v>
      </c>
      <c r="B71" s="0" t="s">
        <v>106</v>
      </c>
      <c r="C71" s="0" t="s">
        <v>21</v>
      </c>
      <c r="D71" s="0" t="s">
        <v>34</v>
      </c>
      <c r="E71" s="0" t="s">
        <v>35</v>
      </c>
      <c r="F71" s="0" t="n">
        <v>1259.85</v>
      </c>
      <c r="G71" s="0" t="n">
        <v>1449.74</v>
      </c>
      <c r="H71" s="0" t="n">
        <v>7</v>
      </c>
    </row>
    <row r="72" customFormat="false" ht="15" hidden="false" customHeight="false" outlineLevel="0" collapsed="false">
      <c r="A72" s="0" t="n">
        <v>1290</v>
      </c>
      <c r="B72" s="0" t="s">
        <v>107</v>
      </c>
      <c r="C72" s="0" t="s">
        <v>37</v>
      </c>
      <c r="D72" s="0" t="s">
        <v>51</v>
      </c>
      <c r="E72" s="0" t="s">
        <v>19</v>
      </c>
      <c r="F72" s="0" t="n">
        <v>372.76</v>
      </c>
      <c r="G72" s="0" t="n">
        <v>1111.53</v>
      </c>
      <c r="H72" s="0" t="n">
        <v>12</v>
      </c>
    </row>
    <row r="73" customFormat="false" ht="15" hidden="false" customHeight="false" outlineLevel="0" collapsed="false">
      <c r="A73" s="0" t="n">
        <v>1093</v>
      </c>
      <c r="B73" s="0" t="s">
        <v>108</v>
      </c>
      <c r="C73" s="0" t="s">
        <v>17</v>
      </c>
      <c r="D73" s="0" t="s">
        <v>18</v>
      </c>
      <c r="E73" s="0" t="s">
        <v>19</v>
      </c>
      <c r="F73" s="0" t="n">
        <v>375.86</v>
      </c>
      <c r="G73" s="0" t="n">
        <v>1192.8</v>
      </c>
      <c r="H73" s="0" t="n">
        <v>12</v>
      </c>
    </row>
    <row r="74" customFormat="false" ht="15" hidden="false" customHeight="false" outlineLevel="0" collapsed="false">
      <c r="A74" s="0" t="n">
        <v>1272</v>
      </c>
      <c r="B74" s="0" t="s">
        <v>109</v>
      </c>
      <c r="C74" s="0" t="s">
        <v>37</v>
      </c>
      <c r="D74" s="0" t="s">
        <v>26</v>
      </c>
      <c r="E74" s="0" t="s">
        <v>19</v>
      </c>
      <c r="F74" s="0" t="n">
        <v>297.69</v>
      </c>
      <c r="G74" s="0" t="n">
        <v>830.48</v>
      </c>
      <c r="H74" s="0" t="n">
        <v>9</v>
      </c>
    </row>
    <row r="75" customFormat="false" ht="15" hidden="false" customHeight="false" outlineLevel="0" collapsed="false">
      <c r="A75" s="0" t="n">
        <v>1084</v>
      </c>
      <c r="B75" s="0" t="s">
        <v>110</v>
      </c>
      <c r="C75" s="0" t="s">
        <v>17</v>
      </c>
      <c r="D75" s="0" t="s">
        <v>45</v>
      </c>
      <c r="E75" s="0" t="s">
        <v>35</v>
      </c>
      <c r="F75" s="0" t="n">
        <v>3222.32</v>
      </c>
      <c r="G75" s="0" t="n">
        <v>1223.73</v>
      </c>
      <c r="H75" s="0" t="n">
        <v>2</v>
      </c>
    </row>
    <row r="76" customFormat="false" ht="15" hidden="false" customHeight="false" outlineLevel="0" collapsed="false">
      <c r="A76" s="0" t="n">
        <v>1252</v>
      </c>
      <c r="B76" s="0" t="s">
        <v>111</v>
      </c>
      <c r="C76" s="0" t="s">
        <v>17</v>
      </c>
      <c r="D76" s="0" t="s">
        <v>26</v>
      </c>
      <c r="E76" s="0" t="s">
        <v>19</v>
      </c>
      <c r="F76" s="0" t="n">
        <v>386.57</v>
      </c>
      <c r="G76" s="0" t="n">
        <v>251.94</v>
      </c>
      <c r="H76" s="0" t="n">
        <v>3</v>
      </c>
    </row>
    <row r="77" customFormat="false" ht="15" hidden="false" customHeight="false" outlineLevel="0" collapsed="false">
      <c r="A77" s="0" t="n">
        <v>1100</v>
      </c>
      <c r="B77" s="0" t="s">
        <v>112</v>
      </c>
      <c r="C77" s="0" t="s">
        <v>17</v>
      </c>
      <c r="D77" s="0" t="s">
        <v>26</v>
      </c>
      <c r="E77" s="0" t="s">
        <v>19</v>
      </c>
      <c r="F77" s="0" t="n">
        <v>188.27</v>
      </c>
      <c r="G77" s="0" t="n">
        <v>210.99</v>
      </c>
      <c r="H77" s="0" t="n">
        <v>5</v>
      </c>
    </row>
    <row r="78" customFormat="false" ht="15" hidden="false" customHeight="false" outlineLevel="0" collapsed="false">
      <c r="A78" s="0" t="n">
        <v>1258</v>
      </c>
      <c r="B78" s="0" t="s">
        <v>100</v>
      </c>
      <c r="C78" s="0" t="s">
        <v>21</v>
      </c>
      <c r="D78" s="0" t="s">
        <v>51</v>
      </c>
      <c r="E78" s="0" t="s">
        <v>19</v>
      </c>
      <c r="F78" s="0" t="n">
        <v>101.39</v>
      </c>
      <c r="G78" s="0" t="n">
        <v>299.48</v>
      </c>
      <c r="H78" s="0" t="n">
        <v>9</v>
      </c>
    </row>
    <row r="79" customFormat="false" ht="15" hidden="false" customHeight="false" outlineLevel="0" collapsed="false">
      <c r="A79" s="0" t="n">
        <v>1131</v>
      </c>
      <c r="B79" s="0" t="s">
        <v>113</v>
      </c>
      <c r="C79" s="0" t="s">
        <v>17</v>
      </c>
      <c r="D79" s="0" t="s">
        <v>47</v>
      </c>
      <c r="E79" s="0" t="s">
        <v>30</v>
      </c>
      <c r="F79" s="0" t="n">
        <v>7743.22</v>
      </c>
      <c r="G79" s="0" t="n">
        <v>6746.43</v>
      </c>
      <c r="H79" s="0" t="n">
        <v>6</v>
      </c>
    </row>
    <row r="80" customFormat="false" ht="15" hidden="false" customHeight="false" outlineLevel="0" collapsed="false">
      <c r="A80" s="0" t="n">
        <v>1140</v>
      </c>
      <c r="B80" s="0" t="s">
        <v>114</v>
      </c>
      <c r="C80" s="0" t="s">
        <v>37</v>
      </c>
      <c r="D80" s="0" t="s">
        <v>53</v>
      </c>
      <c r="E80" s="0" t="s">
        <v>30</v>
      </c>
      <c r="F80" s="0" t="n">
        <v>10063.36</v>
      </c>
      <c r="G80" s="0" t="n">
        <v>6956.04</v>
      </c>
      <c r="H80" s="0" t="n">
        <v>6</v>
      </c>
    </row>
    <row r="81" customFormat="false" ht="15" hidden="false" customHeight="false" outlineLevel="0" collapsed="false">
      <c r="A81" s="0" t="n">
        <v>1219</v>
      </c>
      <c r="B81" s="0" t="s">
        <v>115</v>
      </c>
      <c r="C81" s="0" t="s">
        <v>17</v>
      </c>
      <c r="D81" s="0" t="s">
        <v>32</v>
      </c>
      <c r="E81" s="0" t="s">
        <v>19</v>
      </c>
      <c r="F81" s="0" t="n">
        <v>563.86</v>
      </c>
      <c r="G81" s="0" t="n">
        <v>1736.98</v>
      </c>
      <c r="H81" s="0" t="n">
        <v>9</v>
      </c>
    </row>
    <row r="82" customFormat="false" ht="15" hidden="false" customHeight="false" outlineLevel="0" collapsed="false">
      <c r="A82" s="0" t="n">
        <v>1214</v>
      </c>
      <c r="B82" s="0" t="s">
        <v>78</v>
      </c>
      <c r="C82" s="0" t="s">
        <v>25</v>
      </c>
      <c r="D82" s="0" t="s">
        <v>42</v>
      </c>
      <c r="E82" s="0" t="s">
        <v>35</v>
      </c>
      <c r="F82" s="0" t="n">
        <v>4515.72</v>
      </c>
      <c r="G82" s="0" t="n">
        <v>10679.78</v>
      </c>
      <c r="H82" s="0" t="n">
        <v>12</v>
      </c>
    </row>
    <row r="83" customFormat="false" ht="15" hidden="false" customHeight="false" outlineLevel="0" collapsed="false">
      <c r="A83" s="0" t="n">
        <v>1081</v>
      </c>
      <c r="B83" s="0" t="s">
        <v>116</v>
      </c>
      <c r="C83" s="0" t="s">
        <v>17</v>
      </c>
      <c r="D83" s="0" t="s">
        <v>45</v>
      </c>
      <c r="E83" s="0" t="s">
        <v>35</v>
      </c>
      <c r="F83" s="0" t="n">
        <v>5154.03</v>
      </c>
      <c r="G83" s="0" t="n">
        <v>8975.71</v>
      </c>
      <c r="H83" s="0" t="n">
        <v>8</v>
      </c>
    </row>
    <row r="84" customFormat="false" ht="15" hidden="false" customHeight="false" outlineLevel="0" collapsed="false">
      <c r="A84" s="0" t="n">
        <v>1090</v>
      </c>
      <c r="B84" s="0" t="s">
        <v>117</v>
      </c>
      <c r="C84" s="0" t="s">
        <v>37</v>
      </c>
      <c r="D84" s="0" t="s">
        <v>60</v>
      </c>
      <c r="E84" s="0" t="s">
        <v>23</v>
      </c>
      <c r="F84" s="0" t="n">
        <v>2084.65</v>
      </c>
      <c r="G84" s="0" t="n">
        <v>393.04</v>
      </c>
      <c r="H84" s="0" t="n">
        <v>1</v>
      </c>
    </row>
    <row r="85" customFormat="false" ht="15" hidden="false" customHeight="false" outlineLevel="0" collapsed="false">
      <c r="A85" s="0" t="n">
        <v>1242</v>
      </c>
      <c r="B85" s="0" t="s">
        <v>70</v>
      </c>
      <c r="C85" s="0" t="s">
        <v>37</v>
      </c>
      <c r="D85" s="0" t="s">
        <v>51</v>
      </c>
      <c r="E85" s="0" t="s">
        <v>19</v>
      </c>
      <c r="F85" s="0" t="n">
        <v>422.95</v>
      </c>
      <c r="G85" s="0" t="n">
        <v>1216.55</v>
      </c>
      <c r="H85" s="0" t="n">
        <v>10</v>
      </c>
    </row>
    <row r="86" customFormat="false" ht="15" hidden="false" customHeight="false" outlineLevel="0" collapsed="false">
      <c r="A86" s="0" t="n">
        <v>1270</v>
      </c>
      <c r="B86" s="0" t="s">
        <v>118</v>
      </c>
      <c r="C86" s="0" t="s">
        <v>37</v>
      </c>
      <c r="D86" s="0" t="s">
        <v>45</v>
      </c>
      <c r="E86" s="0" t="s">
        <v>35</v>
      </c>
      <c r="F86" s="0" t="n">
        <v>1775.92</v>
      </c>
      <c r="G86" s="0" t="n">
        <v>1637.68</v>
      </c>
      <c r="H86" s="0" t="n">
        <v>7</v>
      </c>
    </row>
    <row r="87" customFormat="false" ht="15" hidden="false" customHeight="false" outlineLevel="0" collapsed="false">
      <c r="A87" s="0" t="n">
        <v>1259</v>
      </c>
      <c r="B87" s="0" t="s">
        <v>119</v>
      </c>
      <c r="C87" s="0" t="s">
        <v>21</v>
      </c>
      <c r="D87" s="0" t="s">
        <v>29</v>
      </c>
      <c r="E87" s="0" t="s">
        <v>30</v>
      </c>
      <c r="F87" s="0" t="n">
        <v>10339.74</v>
      </c>
      <c r="G87" s="0" t="n">
        <v>862.38</v>
      </c>
      <c r="H87" s="0" t="n">
        <v>1</v>
      </c>
    </row>
    <row r="88" customFormat="false" ht="15" hidden="false" customHeight="false" outlineLevel="0" collapsed="false">
      <c r="A88" s="0" t="n">
        <v>1215</v>
      </c>
      <c r="B88" s="0" t="s">
        <v>120</v>
      </c>
      <c r="C88" s="0" t="s">
        <v>37</v>
      </c>
      <c r="D88" s="0" t="s">
        <v>47</v>
      </c>
      <c r="E88" s="0" t="s">
        <v>30</v>
      </c>
      <c r="F88" s="0" t="n">
        <v>8925.45</v>
      </c>
      <c r="G88" s="0" t="n">
        <v>5810.66</v>
      </c>
      <c r="H88" s="0" t="n">
        <v>6</v>
      </c>
    </row>
    <row r="89" customFormat="false" ht="15" hidden="false" customHeight="false" outlineLevel="0" collapsed="false">
      <c r="A89" s="0" t="n">
        <v>1040</v>
      </c>
      <c r="B89" s="0" t="s">
        <v>121</v>
      </c>
      <c r="C89" s="0" t="s">
        <v>37</v>
      </c>
      <c r="D89" s="0" t="s">
        <v>47</v>
      </c>
      <c r="E89" s="0" t="s">
        <v>30</v>
      </c>
      <c r="F89" s="0" t="n">
        <v>7999.73</v>
      </c>
      <c r="G89" s="0" t="n">
        <v>2712.52</v>
      </c>
      <c r="H89" s="0" t="n">
        <v>4</v>
      </c>
    </row>
    <row r="90" customFormat="false" ht="15" hidden="false" customHeight="false" outlineLevel="0" collapsed="false">
      <c r="A90" s="0" t="n">
        <v>1021</v>
      </c>
      <c r="B90" s="0" t="s">
        <v>122</v>
      </c>
      <c r="C90" s="0" t="s">
        <v>21</v>
      </c>
      <c r="D90" s="0" t="s">
        <v>69</v>
      </c>
      <c r="E90" s="0" t="s">
        <v>23</v>
      </c>
      <c r="F90" s="0" t="n">
        <v>1213.91</v>
      </c>
      <c r="G90" s="0" t="n">
        <v>216.17</v>
      </c>
      <c r="H90" s="0" t="n">
        <v>1</v>
      </c>
    </row>
    <row r="91" customFormat="false" ht="15" hidden="false" customHeight="false" outlineLevel="0" collapsed="false">
      <c r="A91" s="0" t="n">
        <v>1129</v>
      </c>
      <c r="B91" s="0" t="s">
        <v>62</v>
      </c>
      <c r="C91" s="0" t="s">
        <v>21</v>
      </c>
      <c r="D91" s="0" t="s">
        <v>66</v>
      </c>
      <c r="E91" s="0" t="s">
        <v>30</v>
      </c>
      <c r="F91" s="0" t="n">
        <v>11375.36</v>
      </c>
      <c r="G91" s="0" t="n">
        <v>9618.68</v>
      </c>
      <c r="H91" s="0" t="n">
        <v>6</v>
      </c>
    </row>
    <row r="92" customFormat="false" ht="15" hidden="false" customHeight="false" outlineLevel="0" collapsed="false">
      <c r="A92" s="0" t="n">
        <v>1190</v>
      </c>
      <c r="B92" s="0" t="s">
        <v>123</v>
      </c>
      <c r="C92" s="0" t="s">
        <v>21</v>
      </c>
      <c r="D92" s="0" t="s">
        <v>29</v>
      </c>
      <c r="E92" s="0" t="s">
        <v>30</v>
      </c>
      <c r="F92" s="0" t="n">
        <v>3639.85</v>
      </c>
      <c r="G92" s="0" t="n">
        <v>3050.62</v>
      </c>
      <c r="H92" s="0" t="n">
        <v>6</v>
      </c>
    </row>
    <row r="93" customFormat="false" ht="15" hidden="false" customHeight="false" outlineLevel="0" collapsed="false">
      <c r="A93" s="0" t="n">
        <v>1263</v>
      </c>
      <c r="B93" s="0" t="s">
        <v>124</v>
      </c>
      <c r="C93" s="0" t="s">
        <v>25</v>
      </c>
      <c r="D93" s="0" t="s">
        <v>45</v>
      </c>
      <c r="E93" s="0" t="s">
        <v>35</v>
      </c>
      <c r="F93" s="0" t="n">
        <v>1817.78</v>
      </c>
      <c r="G93" s="0" t="n">
        <v>3696.97</v>
      </c>
      <c r="H93" s="0" t="n">
        <v>10</v>
      </c>
    </row>
    <row r="94" customFormat="false" ht="15" hidden="false" customHeight="false" outlineLevel="0" collapsed="false">
      <c r="A94" s="0" t="n">
        <v>1017</v>
      </c>
      <c r="B94" s="0" t="s">
        <v>125</v>
      </c>
      <c r="C94" s="0" t="s">
        <v>37</v>
      </c>
      <c r="D94" s="0" t="s">
        <v>32</v>
      </c>
      <c r="E94" s="0" t="s">
        <v>19</v>
      </c>
      <c r="F94" s="0" t="n">
        <v>462.98</v>
      </c>
      <c r="G94" s="0" t="n">
        <v>1473.89</v>
      </c>
      <c r="H94" s="0" t="n">
        <v>9</v>
      </c>
    </row>
    <row r="95" customFormat="false" ht="15" hidden="false" customHeight="false" outlineLevel="0" collapsed="false">
      <c r="A95" s="0" t="n">
        <v>1114</v>
      </c>
      <c r="B95" s="0" t="s">
        <v>116</v>
      </c>
      <c r="C95" s="0" t="s">
        <v>37</v>
      </c>
      <c r="D95" s="0" t="s">
        <v>66</v>
      </c>
      <c r="E95" s="0" t="s">
        <v>30</v>
      </c>
      <c r="F95" s="0" t="n">
        <v>8152.92</v>
      </c>
      <c r="G95" s="0" t="n">
        <v>7293.15</v>
      </c>
      <c r="H95" s="0" t="n">
        <v>5</v>
      </c>
    </row>
    <row r="96" customFormat="false" ht="15" hidden="false" customHeight="false" outlineLevel="0" collapsed="false">
      <c r="A96" s="0" t="n">
        <v>1196</v>
      </c>
      <c r="B96" s="0" t="s">
        <v>126</v>
      </c>
      <c r="C96" s="0" t="s">
        <v>21</v>
      </c>
      <c r="D96" s="0" t="s">
        <v>45</v>
      </c>
      <c r="E96" s="0" t="s">
        <v>35</v>
      </c>
      <c r="F96" s="0" t="n">
        <v>4550.21</v>
      </c>
      <c r="G96" s="0" t="n">
        <v>2980.36</v>
      </c>
      <c r="H96" s="0" t="n">
        <v>6</v>
      </c>
    </row>
    <row r="97" customFormat="false" ht="15" hidden="false" customHeight="false" outlineLevel="0" collapsed="false">
      <c r="A97" s="0" t="n">
        <v>1043</v>
      </c>
      <c r="B97" s="0" t="s">
        <v>127</v>
      </c>
      <c r="C97" s="0" t="s">
        <v>17</v>
      </c>
      <c r="D97" s="0" t="s">
        <v>22</v>
      </c>
      <c r="E97" s="0" t="s">
        <v>23</v>
      </c>
      <c r="F97" s="0" t="n">
        <v>4485.56</v>
      </c>
      <c r="G97" s="0" t="n">
        <v>5908.46</v>
      </c>
      <c r="H97" s="0" t="n">
        <v>10</v>
      </c>
    </row>
    <row r="98" customFormat="false" ht="15" hidden="false" customHeight="false" outlineLevel="0" collapsed="false">
      <c r="A98" s="0" t="n">
        <v>1301</v>
      </c>
      <c r="B98" s="0" t="s">
        <v>128</v>
      </c>
      <c r="C98" s="0" t="s">
        <v>17</v>
      </c>
      <c r="D98" s="0" t="s">
        <v>29</v>
      </c>
      <c r="E98" s="0" t="s">
        <v>30</v>
      </c>
      <c r="F98" s="0" t="n">
        <v>2564.89</v>
      </c>
      <c r="G98" s="0" t="n">
        <v>1293</v>
      </c>
      <c r="H98" s="0" t="n">
        <v>4</v>
      </c>
    </row>
    <row r="99" customFormat="false" ht="15" hidden="false" customHeight="false" outlineLevel="0" collapsed="false">
      <c r="A99" s="0" t="n">
        <v>1072</v>
      </c>
      <c r="B99" s="0" t="s">
        <v>129</v>
      </c>
      <c r="C99" s="0" t="s">
        <v>17</v>
      </c>
      <c r="D99" s="0" t="s">
        <v>66</v>
      </c>
      <c r="E99" s="0" t="s">
        <v>30</v>
      </c>
      <c r="F99" s="0" t="n">
        <v>8841.99</v>
      </c>
      <c r="G99" s="0" t="n">
        <v>14044.41</v>
      </c>
      <c r="H99" s="0" t="n">
        <v>8</v>
      </c>
    </row>
    <row r="100" customFormat="false" ht="15" hidden="false" customHeight="false" outlineLevel="0" collapsed="false">
      <c r="A100" s="0" t="n">
        <v>1181</v>
      </c>
      <c r="B100" s="0" t="s">
        <v>81</v>
      </c>
      <c r="C100" s="0" t="s">
        <v>25</v>
      </c>
      <c r="D100" s="0" t="s">
        <v>60</v>
      </c>
      <c r="E100" s="0" t="s">
        <v>23</v>
      </c>
      <c r="F100" s="0" t="n">
        <v>4405.82</v>
      </c>
      <c r="G100" s="0" t="n">
        <v>9950.7</v>
      </c>
      <c r="H100" s="0" t="n">
        <v>9</v>
      </c>
    </row>
    <row r="101" customFormat="false" ht="15" hidden="false" customHeight="false" outlineLevel="0" collapsed="false">
      <c r="A101" s="0" t="n">
        <v>1070</v>
      </c>
      <c r="B101" s="0" t="s">
        <v>130</v>
      </c>
      <c r="C101" s="0" t="s">
        <v>17</v>
      </c>
      <c r="D101" s="0" t="s">
        <v>45</v>
      </c>
      <c r="E101" s="0" t="s">
        <v>35</v>
      </c>
      <c r="F101" s="0" t="n">
        <v>4021.05</v>
      </c>
      <c r="G101" s="0" t="n">
        <v>1214.34</v>
      </c>
      <c r="H101" s="0" t="n">
        <v>3</v>
      </c>
    </row>
    <row r="102" customFormat="false" ht="15" hidden="false" customHeight="false" outlineLevel="0" collapsed="false">
      <c r="A102" s="0" t="n">
        <v>1130</v>
      </c>
      <c r="B102" s="0" t="s">
        <v>131</v>
      </c>
      <c r="C102" s="0" t="s">
        <v>21</v>
      </c>
      <c r="D102" s="0" t="s">
        <v>60</v>
      </c>
      <c r="E102" s="0" t="s">
        <v>23</v>
      </c>
      <c r="F102" s="0" t="n">
        <v>4495.94</v>
      </c>
      <c r="G102" s="0" t="n">
        <v>8917.36</v>
      </c>
      <c r="H102" s="0" t="n">
        <v>10</v>
      </c>
    </row>
    <row r="103" customFormat="false" ht="15" hidden="false" customHeight="false" outlineLevel="0" collapsed="false">
      <c r="A103" s="0" t="n">
        <v>1097</v>
      </c>
      <c r="B103" s="0" t="s">
        <v>87</v>
      </c>
      <c r="C103" s="0" t="s">
        <v>25</v>
      </c>
      <c r="D103" s="0" t="s">
        <v>66</v>
      </c>
      <c r="E103" s="0" t="s">
        <v>30</v>
      </c>
      <c r="F103" s="0" t="n">
        <v>7774.17</v>
      </c>
      <c r="G103" s="0" t="n">
        <v>6769.06</v>
      </c>
      <c r="H103" s="0" t="n">
        <v>8</v>
      </c>
    </row>
    <row r="104" customFormat="false" ht="15" hidden="false" customHeight="false" outlineLevel="0" collapsed="false">
      <c r="A104" s="0" t="n">
        <v>1111</v>
      </c>
      <c r="B104" s="0" t="s">
        <v>63</v>
      </c>
      <c r="C104" s="0" t="s">
        <v>37</v>
      </c>
      <c r="D104" s="0" t="s">
        <v>45</v>
      </c>
      <c r="E104" s="0" t="s">
        <v>35</v>
      </c>
      <c r="F104" s="0" t="n">
        <v>4239.91</v>
      </c>
      <c r="G104" s="0" t="n">
        <v>3908.32</v>
      </c>
      <c r="H104" s="0" t="n">
        <v>5</v>
      </c>
    </row>
    <row r="105" customFormat="false" ht="15" hidden="false" customHeight="false" outlineLevel="0" collapsed="false">
      <c r="A105" s="0" t="n">
        <v>1274</v>
      </c>
      <c r="B105" s="0" t="s">
        <v>132</v>
      </c>
      <c r="C105" s="0" t="s">
        <v>25</v>
      </c>
      <c r="D105" s="0" t="s">
        <v>51</v>
      </c>
      <c r="E105" s="0" t="s">
        <v>19</v>
      </c>
      <c r="F105" s="0" t="n">
        <v>270.76</v>
      </c>
      <c r="G105" s="0" t="n">
        <v>506.99</v>
      </c>
      <c r="H105" s="0" t="n">
        <v>9</v>
      </c>
    </row>
    <row r="106" customFormat="false" ht="15" hidden="false" customHeight="false" outlineLevel="0" collapsed="false">
      <c r="A106" s="0" t="n">
        <v>1267</v>
      </c>
      <c r="B106" s="0" t="s">
        <v>79</v>
      </c>
      <c r="C106" s="0" t="s">
        <v>25</v>
      </c>
      <c r="D106" s="0" t="s">
        <v>51</v>
      </c>
      <c r="E106" s="0" t="s">
        <v>19</v>
      </c>
      <c r="F106" s="0" t="n">
        <v>306.75</v>
      </c>
      <c r="G106" s="0" t="n">
        <v>1037.53</v>
      </c>
      <c r="H106" s="0" t="n">
        <v>9</v>
      </c>
    </row>
    <row r="107" customFormat="false" ht="15" hidden="false" customHeight="false" outlineLevel="0" collapsed="false">
      <c r="A107" s="0" t="n">
        <v>1138</v>
      </c>
      <c r="B107" s="0" t="s">
        <v>133</v>
      </c>
      <c r="C107" s="0" t="s">
        <v>37</v>
      </c>
      <c r="D107" s="0" t="s">
        <v>69</v>
      </c>
      <c r="E107" s="0" t="s">
        <v>23</v>
      </c>
      <c r="F107" s="0" t="n">
        <v>3332.28</v>
      </c>
      <c r="G107" s="0" t="n">
        <v>6084.03</v>
      </c>
      <c r="H107" s="0" t="n">
        <v>11</v>
      </c>
    </row>
    <row r="108" customFormat="false" ht="15" hidden="false" customHeight="false" outlineLevel="0" collapsed="false">
      <c r="A108" s="0" t="n">
        <v>1081</v>
      </c>
      <c r="B108" s="0" t="s">
        <v>116</v>
      </c>
      <c r="C108" s="0" t="s">
        <v>17</v>
      </c>
      <c r="D108" s="0" t="s">
        <v>45</v>
      </c>
      <c r="E108" s="0" t="s">
        <v>35</v>
      </c>
      <c r="F108" s="0" t="n">
        <v>5154.03</v>
      </c>
      <c r="G108" s="0" t="n">
        <v>8975.71</v>
      </c>
      <c r="H108" s="0" t="n">
        <v>8</v>
      </c>
    </row>
    <row r="109" customFormat="false" ht="15" hidden="false" customHeight="false" outlineLevel="0" collapsed="false">
      <c r="A109" s="0" t="n">
        <v>1135</v>
      </c>
      <c r="B109" s="0" t="s">
        <v>134</v>
      </c>
      <c r="C109" s="0" t="s">
        <v>37</v>
      </c>
      <c r="D109" s="0" t="s">
        <v>95</v>
      </c>
      <c r="E109" s="0" t="s">
        <v>23</v>
      </c>
      <c r="F109" s="0" t="n">
        <v>856.79</v>
      </c>
      <c r="G109" s="0" t="n">
        <v>980.61</v>
      </c>
      <c r="H109" s="0" t="n">
        <v>8</v>
      </c>
    </row>
    <row r="110" customFormat="false" ht="15" hidden="false" customHeight="false" outlineLevel="0" collapsed="false">
      <c r="A110" s="0" t="n">
        <v>1319</v>
      </c>
      <c r="B110" s="0" t="s">
        <v>135</v>
      </c>
      <c r="C110" s="0" t="s">
        <v>37</v>
      </c>
      <c r="D110" s="0" t="s">
        <v>95</v>
      </c>
      <c r="E110" s="0" t="s">
        <v>23</v>
      </c>
      <c r="F110" s="0" t="n">
        <v>963.68</v>
      </c>
      <c r="G110" s="0" t="n">
        <v>2199.9</v>
      </c>
      <c r="H110" s="0" t="n">
        <v>12</v>
      </c>
    </row>
    <row r="111" customFormat="false" ht="15" hidden="false" customHeight="false" outlineLevel="0" collapsed="false">
      <c r="A111" s="0" t="n">
        <v>1206</v>
      </c>
      <c r="B111" s="0" t="s">
        <v>38</v>
      </c>
      <c r="C111" s="0" t="s">
        <v>21</v>
      </c>
      <c r="D111" s="0" t="s">
        <v>53</v>
      </c>
      <c r="E111" s="0" t="s">
        <v>30</v>
      </c>
      <c r="F111" s="0" t="n">
        <v>6383.31</v>
      </c>
      <c r="G111" s="0" t="n">
        <v>5388.97</v>
      </c>
      <c r="H111" s="0" t="n">
        <v>7</v>
      </c>
    </row>
    <row r="112" customFormat="false" ht="15" hidden="false" customHeight="false" outlineLevel="0" collapsed="false">
      <c r="A112" s="0" t="n">
        <v>1302</v>
      </c>
      <c r="B112" s="0" t="s">
        <v>136</v>
      </c>
      <c r="C112" s="0" t="s">
        <v>21</v>
      </c>
      <c r="D112" s="0" t="s">
        <v>45</v>
      </c>
      <c r="E112" s="0" t="s">
        <v>35</v>
      </c>
      <c r="F112" s="0" t="n">
        <v>4308.39</v>
      </c>
      <c r="G112" s="0" t="n">
        <v>4367.51</v>
      </c>
      <c r="H112" s="0" t="n">
        <v>10</v>
      </c>
    </row>
    <row r="113" customFormat="false" ht="15" hidden="false" customHeight="false" outlineLevel="0" collapsed="false">
      <c r="A113" s="0" t="n">
        <v>1133</v>
      </c>
      <c r="B113" s="0" t="s">
        <v>137</v>
      </c>
      <c r="C113" s="0" t="s">
        <v>21</v>
      </c>
      <c r="D113" s="0" t="s">
        <v>42</v>
      </c>
      <c r="E113" s="0" t="s">
        <v>35</v>
      </c>
      <c r="F113" s="0" t="n">
        <v>5127.75</v>
      </c>
      <c r="G113" s="0" t="n">
        <v>8968.3</v>
      </c>
      <c r="H113" s="0" t="n">
        <v>12</v>
      </c>
    </row>
    <row r="114" customFormat="false" ht="15" hidden="false" customHeight="false" outlineLevel="0" collapsed="false">
      <c r="A114" s="0" t="n">
        <v>1229</v>
      </c>
      <c r="B114" s="0" t="s">
        <v>138</v>
      </c>
      <c r="C114" s="0" t="s">
        <v>37</v>
      </c>
      <c r="D114" s="0" t="s">
        <v>42</v>
      </c>
      <c r="E114" s="0" t="s">
        <v>35</v>
      </c>
      <c r="F114" s="0" t="n">
        <v>1491.02</v>
      </c>
      <c r="G114" s="0" t="n">
        <v>1459.35</v>
      </c>
      <c r="H114" s="0" t="n">
        <v>6</v>
      </c>
    </row>
    <row r="115" customFormat="false" ht="15" hidden="false" customHeight="false" outlineLevel="0" collapsed="false">
      <c r="A115" s="0" t="n">
        <v>1155</v>
      </c>
      <c r="B115" s="0" t="s">
        <v>139</v>
      </c>
      <c r="C115" s="0" t="s">
        <v>21</v>
      </c>
      <c r="D115" s="0" t="s">
        <v>45</v>
      </c>
      <c r="E115" s="0" t="s">
        <v>35</v>
      </c>
      <c r="F115" s="0" t="n">
        <v>4736.39</v>
      </c>
      <c r="G115" s="0" t="n">
        <v>7056.49</v>
      </c>
      <c r="H115" s="0" t="n">
        <v>7</v>
      </c>
    </row>
    <row r="116" customFormat="false" ht="15" hidden="false" customHeight="false" outlineLevel="0" collapsed="false">
      <c r="A116" s="0" t="n">
        <v>1125</v>
      </c>
      <c r="B116" s="0" t="s">
        <v>140</v>
      </c>
      <c r="C116" s="0" t="s">
        <v>37</v>
      </c>
      <c r="D116" s="0" t="s">
        <v>42</v>
      </c>
      <c r="E116" s="0" t="s">
        <v>35</v>
      </c>
      <c r="F116" s="0" t="n">
        <v>4637.05</v>
      </c>
      <c r="G116" s="0" t="n">
        <v>8586.61</v>
      </c>
      <c r="H116" s="0" t="n">
        <v>10</v>
      </c>
    </row>
    <row r="117" customFormat="false" ht="15" hidden="false" customHeight="false" outlineLevel="0" collapsed="false">
      <c r="A117" s="0" t="n">
        <v>1161</v>
      </c>
      <c r="B117" s="0" t="s">
        <v>141</v>
      </c>
      <c r="C117" s="0" t="s">
        <v>37</v>
      </c>
      <c r="D117" s="0" t="s">
        <v>45</v>
      </c>
      <c r="E117" s="0" t="s">
        <v>35</v>
      </c>
      <c r="F117" s="0" t="n">
        <v>2134.26</v>
      </c>
      <c r="G117" s="0" t="n">
        <v>1963.91</v>
      </c>
      <c r="H117" s="0" t="n">
        <v>6</v>
      </c>
    </row>
    <row r="118" customFormat="false" ht="15" hidden="false" customHeight="false" outlineLevel="0" collapsed="false">
      <c r="A118" s="0" t="n">
        <v>1226</v>
      </c>
      <c r="B118" s="0" t="s">
        <v>142</v>
      </c>
      <c r="C118" s="0" t="s">
        <v>21</v>
      </c>
      <c r="D118" s="0" t="s">
        <v>42</v>
      </c>
      <c r="E118" s="0" t="s">
        <v>35</v>
      </c>
      <c r="F118" s="0" t="n">
        <v>1723.95</v>
      </c>
      <c r="G118" s="0" t="n">
        <v>1108.61</v>
      </c>
      <c r="H118" s="0" t="n">
        <v>5</v>
      </c>
    </row>
    <row r="119" customFormat="false" ht="15" hidden="false" customHeight="false" outlineLevel="0" collapsed="false">
      <c r="A119" s="0" t="n">
        <v>1297</v>
      </c>
      <c r="B119" s="0" t="s">
        <v>105</v>
      </c>
      <c r="C119" s="0" t="s">
        <v>17</v>
      </c>
      <c r="D119" s="0" t="s">
        <v>26</v>
      </c>
      <c r="E119" s="0" t="s">
        <v>19</v>
      </c>
      <c r="F119" s="0" t="n">
        <v>338.38</v>
      </c>
      <c r="G119" s="0" t="n">
        <v>1150.72</v>
      </c>
      <c r="H119" s="0" t="n">
        <v>9</v>
      </c>
    </row>
    <row r="120" customFormat="false" ht="15" hidden="false" customHeight="false" outlineLevel="0" collapsed="false">
      <c r="A120" s="0" t="n">
        <v>1189</v>
      </c>
      <c r="B120" s="0" t="s">
        <v>143</v>
      </c>
      <c r="C120" s="0" t="s">
        <v>25</v>
      </c>
      <c r="D120" s="0" t="s">
        <v>32</v>
      </c>
      <c r="E120" s="0" t="s">
        <v>19</v>
      </c>
      <c r="F120" s="0" t="n">
        <v>80.13</v>
      </c>
      <c r="G120" s="0" t="n">
        <v>193.02</v>
      </c>
      <c r="H120" s="0" t="n">
        <v>10</v>
      </c>
    </row>
    <row r="121" customFormat="false" ht="15" hidden="false" customHeight="false" outlineLevel="0" collapsed="false">
      <c r="A121" s="0" t="n">
        <v>1163</v>
      </c>
      <c r="B121" s="0" t="s">
        <v>144</v>
      </c>
      <c r="C121" s="0" t="s">
        <v>17</v>
      </c>
      <c r="D121" s="0" t="s">
        <v>32</v>
      </c>
      <c r="E121" s="0" t="s">
        <v>19</v>
      </c>
      <c r="F121" s="0" t="n">
        <v>582.51</v>
      </c>
      <c r="G121" s="0" t="n">
        <v>908.25</v>
      </c>
      <c r="H121" s="0" t="n">
        <v>4</v>
      </c>
    </row>
    <row r="122" customFormat="false" ht="15" hidden="false" customHeight="false" outlineLevel="0" collapsed="false">
      <c r="A122" s="0" t="n">
        <v>1107</v>
      </c>
      <c r="B122" s="0" t="s">
        <v>145</v>
      </c>
      <c r="C122" s="0" t="s">
        <v>37</v>
      </c>
      <c r="D122" s="0" t="s">
        <v>85</v>
      </c>
      <c r="E122" s="0" t="s">
        <v>23</v>
      </c>
      <c r="F122" s="0" t="n">
        <v>3043.38</v>
      </c>
      <c r="G122" s="0" t="n">
        <v>5251.75</v>
      </c>
      <c r="H122" s="0" t="n">
        <v>7</v>
      </c>
    </row>
    <row r="123" customFormat="false" ht="15" hidden="false" customHeight="false" outlineLevel="0" collapsed="false">
      <c r="A123" s="0" t="n">
        <v>1257</v>
      </c>
      <c r="B123" s="0" t="s">
        <v>146</v>
      </c>
      <c r="D123" s="0" t="s">
        <v>53</v>
      </c>
      <c r="E123" s="0" t="s">
        <v>30</v>
      </c>
      <c r="F123" s="0" t="n">
        <v>4364.87</v>
      </c>
      <c r="G123" s="0" t="n">
        <v>4250.56</v>
      </c>
      <c r="H123" s="0" t="n">
        <v>5</v>
      </c>
    </row>
    <row r="124" customFormat="false" ht="15" hidden="false" customHeight="false" outlineLevel="0" collapsed="false">
      <c r="A124" s="0" t="n">
        <v>1102</v>
      </c>
      <c r="B124" s="0" t="s">
        <v>147</v>
      </c>
      <c r="C124" s="0" t="s">
        <v>21</v>
      </c>
      <c r="D124" s="0" t="s">
        <v>45</v>
      </c>
      <c r="E124" s="0" t="s">
        <v>35</v>
      </c>
      <c r="F124" s="0" t="n">
        <v>2473.86</v>
      </c>
      <c r="G124" s="0" t="n">
        <v>1418.07</v>
      </c>
      <c r="H124" s="0" t="n">
        <v>4</v>
      </c>
    </row>
    <row r="125" customFormat="false" ht="15" hidden="false" customHeight="false" outlineLevel="0" collapsed="false">
      <c r="A125" s="0" t="n">
        <v>1170</v>
      </c>
      <c r="B125" s="0" t="s">
        <v>148</v>
      </c>
      <c r="C125" s="0" t="s">
        <v>37</v>
      </c>
      <c r="D125" s="0" t="s">
        <v>45</v>
      </c>
      <c r="E125" s="0" t="s">
        <v>35</v>
      </c>
      <c r="F125" s="0" t="n">
        <v>2152.66</v>
      </c>
      <c r="G125" s="0" t="n">
        <v>3367.44</v>
      </c>
      <c r="H125" s="0" t="n">
        <v>9</v>
      </c>
    </row>
    <row r="126" customFormat="false" ht="15" hidden="false" customHeight="false" outlineLevel="0" collapsed="false">
      <c r="A126" s="0" t="n">
        <v>1020</v>
      </c>
      <c r="B126" s="0" t="s">
        <v>149</v>
      </c>
      <c r="C126" s="0" t="s">
        <v>21</v>
      </c>
      <c r="D126" s="0" t="s">
        <v>29</v>
      </c>
      <c r="E126" s="0" t="s">
        <v>30</v>
      </c>
      <c r="F126" s="0" t="n">
        <v>11558.25</v>
      </c>
      <c r="G126" s="0" t="n">
        <v>19836.6</v>
      </c>
      <c r="H126" s="0" t="n">
        <v>9</v>
      </c>
    </row>
    <row r="127" customFormat="false" ht="15" hidden="false" customHeight="false" outlineLevel="0" collapsed="false">
      <c r="A127" s="0" t="n">
        <v>1179</v>
      </c>
      <c r="B127" s="0" t="s">
        <v>56</v>
      </c>
      <c r="C127" s="0" t="s">
        <v>17</v>
      </c>
      <c r="D127" s="0" t="s">
        <v>45</v>
      </c>
      <c r="E127" s="0" t="s">
        <v>35</v>
      </c>
      <c r="F127" s="0" t="n">
        <v>3781.76</v>
      </c>
      <c r="G127" s="0" t="n">
        <v>2688.78</v>
      </c>
      <c r="H127" s="0" t="n">
        <v>5</v>
      </c>
    </row>
    <row r="128" customFormat="false" ht="15" hidden="false" customHeight="false" outlineLevel="0" collapsed="false">
      <c r="A128" s="0" t="n">
        <v>1118</v>
      </c>
      <c r="B128" s="0" t="s">
        <v>150</v>
      </c>
      <c r="C128" s="0" t="s">
        <v>37</v>
      </c>
      <c r="D128" s="0" t="s">
        <v>60</v>
      </c>
      <c r="E128" s="0" t="s">
        <v>23</v>
      </c>
      <c r="F128" s="0" t="n">
        <v>2720.17</v>
      </c>
      <c r="G128" s="0" t="n">
        <v>4151.13</v>
      </c>
      <c r="H128" s="0" t="n">
        <v>8</v>
      </c>
    </row>
    <row r="129" customFormat="false" ht="15" hidden="false" customHeight="false" outlineLevel="0" collapsed="false">
      <c r="A129" s="0" t="n">
        <v>1306</v>
      </c>
      <c r="B129" s="0" t="s">
        <v>151</v>
      </c>
      <c r="C129" s="0" t="s">
        <v>25</v>
      </c>
      <c r="D129" s="0" t="s">
        <v>34</v>
      </c>
      <c r="E129" s="0" t="s">
        <v>35</v>
      </c>
      <c r="F129" s="0" t="n">
        <v>4445.38</v>
      </c>
      <c r="G129" s="0" t="n">
        <v>10013.39</v>
      </c>
      <c r="H129" s="0" t="n">
        <v>11</v>
      </c>
    </row>
    <row r="130" customFormat="false" ht="15" hidden="false" customHeight="false" outlineLevel="0" collapsed="false">
      <c r="A130" s="0" t="n">
        <v>1049</v>
      </c>
      <c r="B130" s="0" t="s">
        <v>90</v>
      </c>
      <c r="C130" s="0" t="s">
        <v>21</v>
      </c>
      <c r="D130" s="0" t="s">
        <v>22</v>
      </c>
      <c r="E130" s="0" t="s">
        <v>23</v>
      </c>
      <c r="F130" s="0" t="n">
        <v>4425.25</v>
      </c>
      <c r="G130" s="0" t="n">
        <v>7099.8</v>
      </c>
      <c r="H130" s="0" t="n">
        <v>11</v>
      </c>
    </row>
    <row r="131" customFormat="false" ht="15" hidden="false" customHeight="false" outlineLevel="0" collapsed="false">
      <c r="A131" s="0" t="n">
        <v>1291</v>
      </c>
      <c r="B131" s="0" t="s">
        <v>147</v>
      </c>
      <c r="C131" s="0" t="s">
        <v>37</v>
      </c>
      <c r="D131" s="0" t="s">
        <v>29</v>
      </c>
      <c r="E131" s="0" t="s">
        <v>30</v>
      </c>
      <c r="F131" s="0" t="n">
        <v>5637.79</v>
      </c>
      <c r="G131" s="0" t="n">
        <v>5394.35</v>
      </c>
      <c r="H131" s="0" t="n">
        <v>7</v>
      </c>
    </row>
    <row r="132" customFormat="false" ht="15" hidden="false" customHeight="false" outlineLevel="0" collapsed="false">
      <c r="A132" s="0" t="n">
        <v>1207</v>
      </c>
      <c r="B132" s="0" t="s">
        <v>152</v>
      </c>
      <c r="C132" s="0" t="s">
        <v>37</v>
      </c>
      <c r="D132" s="0" t="s">
        <v>60</v>
      </c>
      <c r="E132" s="0" t="s">
        <v>23</v>
      </c>
      <c r="F132" s="0" t="n">
        <v>2864.46</v>
      </c>
      <c r="G132" s="0" t="n">
        <v>1041.81</v>
      </c>
      <c r="H132" s="0" t="n">
        <v>2</v>
      </c>
    </row>
    <row r="133" customFormat="false" ht="15" hidden="false" customHeight="false" outlineLevel="0" collapsed="false">
      <c r="A133" s="0" t="n">
        <v>1246</v>
      </c>
      <c r="B133" s="0" t="s">
        <v>153</v>
      </c>
      <c r="C133" s="0" t="s">
        <v>37</v>
      </c>
      <c r="D133" s="0" t="s">
        <v>66</v>
      </c>
      <c r="E133" s="0" t="s">
        <v>30</v>
      </c>
      <c r="F133" s="0" t="n">
        <v>7418.58</v>
      </c>
      <c r="G133" s="0" t="n">
        <v>11253.99</v>
      </c>
      <c r="H133" s="0" t="n">
        <v>8</v>
      </c>
    </row>
    <row r="134" customFormat="false" ht="15" hidden="false" customHeight="false" outlineLevel="0" collapsed="false">
      <c r="A134" s="0" t="n">
        <v>1117</v>
      </c>
      <c r="B134" s="0" t="s">
        <v>106</v>
      </c>
      <c r="C134" s="0" t="s">
        <v>37</v>
      </c>
      <c r="D134" s="0" t="s">
        <v>26</v>
      </c>
      <c r="E134" s="0" t="s">
        <v>19</v>
      </c>
      <c r="F134" s="0" t="n">
        <v>579.05</v>
      </c>
      <c r="G134" s="0" t="n">
        <v>850.49</v>
      </c>
      <c r="H134" s="0" t="n">
        <v>4</v>
      </c>
    </row>
    <row r="135" customFormat="false" ht="15" hidden="false" customHeight="false" outlineLevel="0" collapsed="false">
      <c r="A135" s="0" t="n">
        <v>1288</v>
      </c>
      <c r="B135" s="0" t="s">
        <v>123</v>
      </c>
      <c r="C135" s="0" t="s">
        <v>25</v>
      </c>
      <c r="D135" s="0" t="s">
        <v>45</v>
      </c>
      <c r="E135" s="0" t="s">
        <v>35</v>
      </c>
      <c r="F135" s="0" t="n">
        <v>2436.81</v>
      </c>
      <c r="G135" s="0" t="n">
        <v>452.51</v>
      </c>
      <c r="H135" s="0" t="n">
        <v>1</v>
      </c>
    </row>
    <row r="136" customFormat="false" ht="15" hidden="false" customHeight="false" outlineLevel="0" collapsed="false">
      <c r="A136" s="0" t="n">
        <v>1178</v>
      </c>
      <c r="B136" s="0" t="s">
        <v>131</v>
      </c>
      <c r="C136" s="0" t="s">
        <v>37</v>
      </c>
      <c r="D136" s="0" t="s">
        <v>51</v>
      </c>
      <c r="E136" s="0" t="s">
        <v>19</v>
      </c>
      <c r="F136" s="0" t="n">
        <v>358.93</v>
      </c>
      <c r="G136" s="0" t="n">
        <v>1078.95</v>
      </c>
      <c r="H136" s="0" t="n">
        <v>9</v>
      </c>
    </row>
    <row r="137" customFormat="false" ht="15" hidden="false" customHeight="false" outlineLevel="0" collapsed="false">
      <c r="A137" s="0" t="n">
        <v>1316</v>
      </c>
      <c r="B137" s="0" t="s">
        <v>77</v>
      </c>
      <c r="C137" s="0" t="s">
        <v>37</v>
      </c>
      <c r="D137" s="0" t="s">
        <v>66</v>
      </c>
      <c r="E137" s="0" t="s">
        <v>30</v>
      </c>
      <c r="F137" s="0" t="n">
        <v>8898.25</v>
      </c>
      <c r="G137" s="0" t="n">
        <v>10345.71</v>
      </c>
    </row>
    <row r="138" customFormat="false" ht="15" hidden="false" customHeight="false" outlineLevel="0" collapsed="false">
      <c r="A138" s="0" t="n">
        <v>1009</v>
      </c>
      <c r="B138" s="0" t="s">
        <v>154</v>
      </c>
      <c r="C138" s="0" t="s">
        <v>21</v>
      </c>
      <c r="D138" s="0" t="s">
        <v>51</v>
      </c>
      <c r="E138" s="0" t="s">
        <v>19</v>
      </c>
      <c r="F138" s="0" t="n">
        <v>418.6</v>
      </c>
      <c r="G138" s="0" t="n">
        <v>569.91</v>
      </c>
      <c r="H138" s="0" t="n">
        <v>4</v>
      </c>
    </row>
    <row r="139" customFormat="false" ht="15" hidden="false" customHeight="false" outlineLevel="0" collapsed="false">
      <c r="A139" s="0" t="n">
        <v>1112</v>
      </c>
      <c r="B139" s="0" t="s">
        <v>31</v>
      </c>
      <c r="C139" s="0" t="s">
        <v>25</v>
      </c>
      <c r="D139" s="0" t="s">
        <v>42</v>
      </c>
      <c r="E139" s="0" t="s">
        <v>35</v>
      </c>
      <c r="F139" s="0" t="n">
        <v>3736.1</v>
      </c>
      <c r="G139" s="0" t="n">
        <v>8074.29</v>
      </c>
      <c r="H139" s="0" t="n">
        <v>11</v>
      </c>
    </row>
    <row r="140" customFormat="false" ht="15" hidden="false" customHeight="false" outlineLevel="0" collapsed="false">
      <c r="A140" s="0" t="n">
        <v>1240</v>
      </c>
      <c r="B140" s="0" t="s">
        <v>155</v>
      </c>
      <c r="C140" s="0" t="s">
        <v>17</v>
      </c>
      <c r="D140" s="0" t="s">
        <v>34</v>
      </c>
      <c r="E140" s="0" t="s">
        <v>35</v>
      </c>
      <c r="F140" s="0" t="n">
        <v>3108.81</v>
      </c>
      <c r="G140" s="0" t="n">
        <v>5732.23</v>
      </c>
      <c r="H140" s="0" t="n">
        <v>12</v>
      </c>
    </row>
    <row r="141" customFormat="false" ht="15" hidden="false" customHeight="false" outlineLevel="0" collapsed="false">
      <c r="A141" s="0" t="n">
        <v>1111</v>
      </c>
      <c r="B141" s="0" t="s">
        <v>63</v>
      </c>
      <c r="C141" s="0" t="s">
        <v>37</v>
      </c>
      <c r="D141" s="0" t="s">
        <v>45</v>
      </c>
      <c r="E141" s="0" t="s">
        <v>35</v>
      </c>
      <c r="F141" s="0" t="n">
        <v>4239.91</v>
      </c>
      <c r="G141" s="0" t="n">
        <v>3908.32</v>
      </c>
      <c r="H141" s="0" t="n">
        <v>5</v>
      </c>
    </row>
    <row r="142" customFormat="false" ht="15" hidden="false" customHeight="false" outlineLevel="0" collapsed="false">
      <c r="A142" s="0" t="n">
        <v>1119</v>
      </c>
      <c r="B142" s="0" t="s">
        <v>156</v>
      </c>
      <c r="C142" s="0" t="s">
        <v>17</v>
      </c>
      <c r="D142" s="0" t="s">
        <v>51</v>
      </c>
      <c r="E142" s="0" t="s">
        <v>19</v>
      </c>
      <c r="F142" s="0" t="n">
        <v>582.98</v>
      </c>
      <c r="G142" s="0" t="n">
        <v>1371.18</v>
      </c>
      <c r="H142" s="0" t="n">
        <v>8</v>
      </c>
    </row>
    <row r="143" customFormat="false" ht="15" hidden="false" customHeight="false" outlineLevel="0" collapsed="false">
      <c r="A143" s="0" t="n">
        <v>1308</v>
      </c>
      <c r="B143" s="0" t="s">
        <v>157</v>
      </c>
      <c r="C143" s="0" t="s">
        <v>25</v>
      </c>
      <c r="D143" s="0" t="s">
        <v>22</v>
      </c>
      <c r="E143" s="0" t="s">
        <v>23</v>
      </c>
      <c r="F143" s="0" t="n">
        <v>1354.45</v>
      </c>
      <c r="G143" s="0" t="n">
        <v>2102.77</v>
      </c>
      <c r="H143" s="0" t="n">
        <v>9</v>
      </c>
    </row>
    <row r="144" customFormat="false" ht="15" hidden="false" customHeight="false" outlineLevel="0" collapsed="false">
      <c r="A144" s="0" t="n">
        <v>1167</v>
      </c>
      <c r="B144" s="0" t="s">
        <v>158</v>
      </c>
      <c r="C144" s="0" t="s">
        <v>25</v>
      </c>
      <c r="D144" s="0" t="s">
        <v>51</v>
      </c>
      <c r="E144" s="0" t="s">
        <v>19</v>
      </c>
      <c r="F144" s="0" t="n">
        <v>489.18</v>
      </c>
      <c r="G144" s="0" t="n">
        <v>542.95</v>
      </c>
      <c r="H144" s="0" t="n">
        <v>5</v>
      </c>
    </row>
    <row r="145" customFormat="false" ht="15" hidden="false" customHeight="false" outlineLevel="0" collapsed="false">
      <c r="A145" s="0" t="n">
        <v>1024</v>
      </c>
      <c r="B145" s="0" t="s">
        <v>158</v>
      </c>
      <c r="C145" s="0" t="s">
        <v>25</v>
      </c>
      <c r="D145" s="0" t="s">
        <v>18</v>
      </c>
      <c r="E145" s="0" t="s">
        <v>19</v>
      </c>
      <c r="F145" s="0" t="n">
        <v>429.43</v>
      </c>
      <c r="G145" s="0" t="n">
        <v>1765.42</v>
      </c>
      <c r="H145" s="0" t="n">
        <v>12</v>
      </c>
    </row>
    <row r="146" customFormat="false" ht="15" hidden="false" customHeight="false" outlineLevel="0" collapsed="false">
      <c r="A146" s="0" t="n">
        <v>1176</v>
      </c>
      <c r="B146" s="0" t="s">
        <v>159</v>
      </c>
      <c r="C146" s="0" t="s">
        <v>37</v>
      </c>
      <c r="D146" s="0" t="s">
        <v>34</v>
      </c>
      <c r="E146" s="0" t="s">
        <v>35</v>
      </c>
      <c r="F146" s="0" t="n">
        <v>2543.85</v>
      </c>
      <c r="G146" s="0" t="n">
        <v>2325.35</v>
      </c>
      <c r="H146" s="0" t="n">
        <v>7</v>
      </c>
    </row>
    <row r="147" customFormat="false" ht="15" hidden="false" customHeight="false" outlineLevel="0" collapsed="false">
      <c r="A147" s="0" t="n">
        <v>1254</v>
      </c>
      <c r="B147" s="0" t="s">
        <v>105</v>
      </c>
      <c r="C147" s="0" t="s">
        <v>21</v>
      </c>
      <c r="D147" s="0" t="s">
        <v>85</v>
      </c>
      <c r="E147" s="0" t="s">
        <v>23</v>
      </c>
      <c r="F147" s="0" t="n">
        <v>2464.91</v>
      </c>
      <c r="G147" s="0" t="n">
        <v>1128.03</v>
      </c>
      <c r="H147" s="0" t="n">
        <v>2</v>
      </c>
    </row>
    <row r="148" customFormat="false" ht="15" hidden="false" customHeight="false" outlineLevel="0" collapsed="false">
      <c r="A148" s="0" t="n">
        <v>1091</v>
      </c>
      <c r="B148" s="0" t="s">
        <v>104</v>
      </c>
      <c r="C148" s="0" t="s">
        <v>21</v>
      </c>
      <c r="D148" s="0" t="s">
        <v>32</v>
      </c>
      <c r="E148" s="0" t="s">
        <v>19</v>
      </c>
      <c r="F148" s="0" t="n">
        <v>502.28</v>
      </c>
      <c r="G148" s="0" t="n">
        <v>777.41</v>
      </c>
      <c r="H148" s="0" t="n">
        <v>7</v>
      </c>
    </row>
    <row r="149" customFormat="false" ht="15" hidden="false" customHeight="false" outlineLevel="0" collapsed="false">
      <c r="A149" s="0" t="n">
        <v>1077</v>
      </c>
      <c r="B149" s="0" t="s">
        <v>62</v>
      </c>
      <c r="C149" s="0" t="s">
        <v>37</v>
      </c>
      <c r="D149" s="0" t="s">
        <v>29</v>
      </c>
      <c r="E149" s="0" t="s">
        <v>30</v>
      </c>
      <c r="F149" s="0" t="n">
        <v>5643.37</v>
      </c>
      <c r="G149" s="0" t="n">
        <v>5368.97</v>
      </c>
      <c r="H149" s="0" t="n">
        <v>7</v>
      </c>
    </row>
    <row r="150" customFormat="false" ht="15" hidden="false" customHeight="false" outlineLevel="0" collapsed="false">
      <c r="A150" s="0" t="n">
        <v>1109</v>
      </c>
      <c r="B150" s="0" t="s">
        <v>160</v>
      </c>
      <c r="C150" s="0" t="s">
        <v>37</v>
      </c>
      <c r="D150" s="0" t="s">
        <v>32</v>
      </c>
      <c r="E150" s="0" t="s">
        <v>19</v>
      </c>
      <c r="F150" s="0" t="n">
        <v>166.06</v>
      </c>
      <c r="G150" s="0" t="n">
        <v>606.61</v>
      </c>
      <c r="H150" s="0" t="n">
        <v>11</v>
      </c>
    </row>
    <row r="151" customFormat="false" ht="15" hidden="false" customHeight="false" outlineLevel="0" collapsed="false">
      <c r="A151" s="0" t="n">
        <v>1173</v>
      </c>
      <c r="B151" s="0" t="s">
        <v>161</v>
      </c>
      <c r="C151" s="0" t="s">
        <v>21</v>
      </c>
      <c r="D151" s="0" t="s">
        <v>53</v>
      </c>
      <c r="E151" s="0" t="s">
        <v>30</v>
      </c>
      <c r="F151" s="0" t="n">
        <v>7540.29</v>
      </c>
      <c r="G151" s="0" t="n">
        <v>10137.61</v>
      </c>
      <c r="H151" s="0" t="n">
        <v>10</v>
      </c>
    </row>
    <row r="152" customFormat="false" ht="15" hidden="false" customHeight="false" outlineLevel="0" collapsed="false">
      <c r="A152" s="0" t="n">
        <v>1213</v>
      </c>
      <c r="B152" s="0" t="s">
        <v>162</v>
      </c>
      <c r="C152" s="0" t="s">
        <v>37</v>
      </c>
      <c r="D152" s="0" t="s">
        <v>69</v>
      </c>
      <c r="E152" s="0" t="s">
        <v>23</v>
      </c>
      <c r="F152" s="0" t="n">
        <v>4042.65</v>
      </c>
      <c r="G152" s="0" t="n">
        <v>5309.25</v>
      </c>
      <c r="H152" s="0" t="n">
        <v>6</v>
      </c>
    </row>
    <row r="153" customFormat="false" ht="15" hidden="false" customHeight="false" outlineLevel="0" collapsed="false">
      <c r="A153" s="0" t="n">
        <v>1209</v>
      </c>
      <c r="B153" s="0" t="s">
        <v>163</v>
      </c>
      <c r="C153" s="0" t="s">
        <v>25</v>
      </c>
      <c r="D153" s="0" t="s">
        <v>18</v>
      </c>
      <c r="E153" s="0" t="s">
        <v>19</v>
      </c>
      <c r="F153" s="0" t="n">
        <v>565.9</v>
      </c>
      <c r="G153" s="0" t="n">
        <v>1778.62</v>
      </c>
      <c r="H153" s="0" t="n">
        <v>12</v>
      </c>
    </row>
    <row r="154" customFormat="false" ht="15" hidden="false" customHeight="false" outlineLevel="0" collapsed="false">
      <c r="A154" s="0" t="n">
        <v>1320</v>
      </c>
      <c r="B154" s="0" t="s">
        <v>164</v>
      </c>
      <c r="C154" s="0" t="s">
        <v>25</v>
      </c>
      <c r="D154" s="0" t="s">
        <v>66</v>
      </c>
      <c r="E154" s="0" t="s">
        <v>30</v>
      </c>
      <c r="F154" s="0" t="n">
        <v>4724.53</v>
      </c>
      <c r="H154" s="0" t="n">
        <v>5</v>
      </c>
    </row>
    <row r="155" customFormat="false" ht="15" hidden="false" customHeight="false" outlineLevel="0" collapsed="false">
      <c r="A155" s="0" t="n">
        <v>1082</v>
      </c>
      <c r="B155" s="0" t="s">
        <v>165</v>
      </c>
      <c r="C155" s="0" t="s">
        <v>37</v>
      </c>
      <c r="D155" s="0" t="s">
        <v>95</v>
      </c>
      <c r="E155" s="0" t="s">
        <v>23</v>
      </c>
      <c r="F155" s="0" t="n">
        <v>2385.87</v>
      </c>
      <c r="G155" s="0" t="n">
        <v>6789.37</v>
      </c>
      <c r="H155" s="0" t="n">
        <v>11</v>
      </c>
    </row>
    <row r="156" customFormat="false" ht="15" hidden="false" customHeight="false" outlineLevel="0" collapsed="false">
      <c r="A156" s="0" t="n">
        <v>1058</v>
      </c>
      <c r="B156" s="0" t="s">
        <v>105</v>
      </c>
      <c r="C156" s="0" t="s">
        <v>21</v>
      </c>
      <c r="D156" s="0" t="s">
        <v>60</v>
      </c>
      <c r="E156" s="0" t="s">
        <v>23</v>
      </c>
      <c r="F156" s="0" t="n">
        <v>2278.81</v>
      </c>
      <c r="G156" s="0" t="n">
        <v>5680.74</v>
      </c>
      <c r="H156" s="0" t="n">
        <v>9</v>
      </c>
    </row>
    <row r="157" customFormat="false" ht="15" hidden="false" customHeight="false" outlineLevel="0" collapsed="false">
      <c r="A157" s="0" t="n">
        <v>1122</v>
      </c>
      <c r="B157" s="0" t="s">
        <v>166</v>
      </c>
      <c r="C157" s="0" t="s">
        <v>17</v>
      </c>
      <c r="D157" s="0" t="s">
        <v>32</v>
      </c>
      <c r="E157" s="0" t="s">
        <v>19</v>
      </c>
      <c r="F157" s="0" t="n">
        <v>411.71</v>
      </c>
      <c r="G157" s="0" t="n">
        <v>127.02</v>
      </c>
      <c r="H157" s="0" t="n">
        <v>1</v>
      </c>
    </row>
    <row r="158" customFormat="false" ht="15" hidden="false" customHeight="false" outlineLevel="0" collapsed="false">
      <c r="A158" s="0" t="n">
        <v>1027</v>
      </c>
      <c r="B158" s="0" t="s">
        <v>167</v>
      </c>
      <c r="C158" s="0" t="s">
        <v>25</v>
      </c>
      <c r="D158" s="0" t="s">
        <v>22</v>
      </c>
      <c r="E158" s="0" t="s">
        <v>23</v>
      </c>
      <c r="F158" s="0" t="n">
        <v>3980.65</v>
      </c>
      <c r="G158" s="0" t="n">
        <v>522.81</v>
      </c>
      <c r="H158" s="0" t="n">
        <v>1</v>
      </c>
    </row>
    <row r="159" customFormat="false" ht="15" hidden="false" customHeight="false" outlineLevel="0" collapsed="false">
      <c r="A159" s="0" t="n">
        <v>1141</v>
      </c>
      <c r="B159" s="0" t="s">
        <v>135</v>
      </c>
      <c r="C159" s="0" t="s">
        <v>25</v>
      </c>
      <c r="D159" s="0" t="s">
        <v>18</v>
      </c>
      <c r="E159" s="0" t="s">
        <v>19</v>
      </c>
      <c r="F159" s="0" t="n">
        <v>276.63</v>
      </c>
      <c r="G159" s="0" t="n">
        <v>837.43</v>
      </c>
      <c r="H159" s="0" t="n">
        <v>9</v>
      </c>
    </row>
    <row r="160" customFormat="false" ht="15" hidden="false" customHeight="false" outlineLevel="0" collapsed="false">
      <c r="A160" s="0" t="n">
        <v>1304</v>
      </c>
      <c r="B160" s="0" t="s">
        <v>168</v>
      </c>
      <c r="C160" s="0" t="s">
        <v>21</v>
      </c>
      <c r="D160" s="0" t="s">
        <v>32</v>
      </c>
      <c r="E160" s="0" t="s">
        <v>19</v>
      </c>
      <c r="F160" s="0" t="n">
        <v>171.47</v>
      </c>
      <c r="G160" s="0" t="n">
        <v>671.26</v>
      </c>
      <c r="H160" s="0" t="n">
        <v>10</v>
      </c>
    </row>
    <row r="161" customFormat="false" ht="15" hidden="false" customHeight="false" outlineLevel="0" collapsed="false">
      <c r="A161" s="0" t="n">
        <v>1243</v>
      </c>
      <c r="B161" s="0" t="s">
        <v>169</v>
      </c>
      <c r="C161" s="0" t="s">
        <v>25</v>
      </c>
      <c r="D161" s="0" t="s">
        <v>66</v>
      </c>
      <c r="E161" s="0" t="s">
        <v>30</v>
      </c>
      <c r="F161" s="0" t="n">
        <v>5940.43</v>
      </c>
      <c r="G161" s="0" t="n">
        <v>6912.38</v>
      </c>
      <c r="H161" s="0" t="n">
        <v>6</v>
      </c>
    </row>
    <row r="162" customFormat="false" ht="15" hidden="false" customHeight="false" outlineLevel="0" collapsed="false">
      <c r="A162" s="0" t="n">
        <v>1248</v>
      </c>
      <c r="B162" s="0" t="s">
        <v>61</v>
      </c>
      <c r="C162" s="0" t="s">
        <v>37</v>
      </c>
      <c r="D162" s="0" t="s">
        <v>42</v>
      </c>
      <c r="E162" s="0" t="s">
        <v>35</v>
      </c>
      <c r="F162" s="0" t="n">
        <v>3143.78</v>
      </c>
      <c r="G162" s="0" t="n">
        <v>1306.82</v>
      </c>
      <c r="H162" s="0" t="n">
        <v>2</v>
      </c>
    </row>
    <row r="163" customFormat="false" ht="15" hidden="false" customHeight="false" outlineLevel="0" collapsed="false">
      <c r="A163" s="0" t="n">
        <v>1211</v>
      </c>
      <c r="B163" s="0" t="s">
        <v>170</v>
      </c>
      <c r="C163" s="0" t="s">
        <v>21</v>
      </c>
      <c r="D163" s="0" t="s">
        <v>95</v>
      </c>
      <c r="E163" s="0" t="s">
        <v>23</v>
      </c>
      <c r="F163" s="0" t="n">
        <v>1942.8</v>
      </c>
      <c r="G163" s="0" t="n">
        <v>3172.83</v>
      </c>
      <c r="H163" s="0" t="n">
        <v>6</v>
      </c>
    </row>
    <row r="164" customFormat="false" ht="15" hidden="false" customHeight="false" outlineLevel="0" collapsed="false">
      <c r="A164" s="0" t="n">
        <v>1078</v>
      </c>
      <c r="B164" s="0" t="s">
        <v>171</v>
      </c>
      <c r="C164" s="0" t="s">
        <v>17</v>
      </c>
      <c r="D164" s="0" t="s">
        <v>85</v>
      </c>
      <c r="E164" s="0" t="s">
        <v>23</v>
      </c>
      <c r="F164" s="0" t="n">
        <v>4300.43</v>
      </c>
      <c r="G164" s="0" t="n">
        <v>5294.91</v>
      </c>
      <c r="H164" s="0" t="n">
        <v>10</v>
      </c>
    </row>
    <row r="165" customFormat="false" ht="15" hidden="false" customHeight="false" outlineLevel="0" collapsed="false">
      <c r="A165" s="0" t="n">
        <v>1273</v>
      </c>
      <c r="B165" s="0" t="s">
        <v>172</v>
      </c>
      <c r="C165" s="0" t="s">
        <v>37</v>
      </c>
      <c r="D165" s="0" t="s">
        <v>85</v>
      </c>
      <c r="E165" s="0" t="s">
        <v>23</v>
      </c>
      <c r="F165" s="0" t="n">
        <v>3741.12</v>
      </c>
      <c r="G165" s="0" t="n">
        <v>3911.42</v>
      </c>
      <c r="H165" s="0" t="n">
        <v>6</v>
      </c>
    </row>
    <row r="166" customFormat="false" ht="15" hidden="false" customHeight="false" outlineLevel="0" collapsed="false">
      <c r="A166" s="0" t="n">
        <v>1222</v>
      </c>
      <c r="B166" s="0" t="s">
        <v>173</v>
      </c>
      <c r="C166" s="0" t="s">
        <v>21</v>
      </c>
      <c r="D166" s="0" t="s">
        <v>34</v>
      </c>
      <c r="E166" s="0" t="s">
        <v>35</v>
      </c>
      <c r="F166" s="0" t="n">
        <v>5476.46</v>
      </c>
      <c r="G166" s="0" t="n">
        <v>5558.21</v>
      </c>
      <c r="H166" s="0" t="n">
        <v>7</v>
      </c>
    </row>
    <row r="167" customFormat="false" ht="15" hidden="false" customHeight="false" outlineLevel="0" collapsed="false">
      <c r="A167" s="0" t="n">
        <v>1063</v>
      </c>
      <c r="B167" s="0" t="s">
        <v>174</v>
      </c>
      <c r="C167" s="0" t="s">
        <v>21</v>
      </c>
      <c r="D167" s="0" t="s">
        <v>60</v>
      </c>
      <c r="E167" s="0" t="s">
        <v>23</v>
      </c>
      <c r="F167" s="0" t="n">
        <v>2006.88</v>
      </c>
      <c r="G167" s="0" t="n">
        <v>3252.9</v>
      </c>
      <c r="H167" s="0" t="n">
        <v>7</v>
      </c>
    </row>
    <row r="168" customFormat="false" ht="15" hidden="false" customHeight="false" outlineLevel="0" collapsed="false">
      <c r="A168" s="0" t="n">
        <v>1220</v>
      </c>
      <c r="B168" s="0" t="s">
        <v>149</v>
      </c>
      <c r="C168" s="0" t="s">
        <v>37</v>
      </c>
      <c r="D168" s="0" t="s">
        <v>60</v>
      </c>
      <c r="E168" s="0" t="s">
        <v>23</v>
      </c>
      <c r="F168" s="0" t="n">
        <v>2462.48</v>
      </c>
      <c r="G168" s="0" t="n">
        <v>2488.78</v>
      </c>
      <c r="H168" s="0" t="n">
        <v>5</v>
      </c>
    </row>
    <row r="169" customFormat="false" ht="15" hidden="false" customHeight="false" outlineLevel="0" collapsed="false">
      <c r="A169" s="0" t="n">
        <v>1230</v>
      </c>
      <c r="B169" s="0" t="s">
        <v>175</v>
      </c>
      <c r="C169" s="0" t="s">
        <v>17</v>
      </c>
      <c r="D169" s="0" t="s">
        <v>95</v>
      </c>
      <c r="E169" s="0" t="s">
        <v>23</v>
      </c>
      <c r="F169" s="0" t="n">
        <v>2231.46</v>
      </c>
      <c r="G169" s="0" t="n">
        <v>4411.62</v>
      </c>
      <c r="H169" s="0" t="n">
        <v>11</v>
      </c>
    </row>
    <row r="170" customFormat="false" ht="15" hidden="false" customHeight="false" outlineLevel="0" collapsed="false">
      <c r="A170" s="0" t="n">
        <v>1039</v>
      </c>
      <c r="B170" s="0" t="s">
        <v>153</v>
      </c>
      <c r="C170" s="0" t="s">
        <v>37</v>
      </c>
      <c r="D170" s="0" t="s">
        <v>66</v>
      </c>
      <c r="E170" s="0" t="s">
        <v>30</v>
      </c>
      <c r="F170" s="0" t="n">
        <v>8152.83</v>
      </c>
      <c r="G170" s="0" t="n">
        <v>2625.63</v>
      </c>
      <c r="H170" s="0" t="n">
        <v>2</v>
      </c>
    </row>
    <row r="171" customFormat="false" ht="15" hidden="false" customHeight="false" outlineLevel="0" collapsed="false">
      <c r="A171" s="0" t="n">
        <v>1298</v>
      </c>
      <c r="B171" s="0" t="s">
        <v>43</v>
      </c>
      <c r="C171" s="0" t="s">
        <v>21</v>
      </c>
      <c r="D171" s="0" t="s">
        <v>47</v>
      </c>
      <c r="E171" s="0" t="s">
        <v>30</v>
      </c>
      <c r="F171" s="0" t="n">
        <v>5641.5</v>
      </c>
      <c r="G171" s="0" t="n">
        <v>1892.55</v>
      </c>
      <c r="H171" s="0" t="n">
        <v>2</v>
      </c>
    </row>
    <row r="172" customFormat="false" ht="15" hidden="false" customHeight="false" outlineLevel="0" collapsed="false">
      <c r="A172" s="0" t="n">
        <v>1156</v>
      </c>
      <c r="B172" s="0" t="s">
        <v>176</v>
      </c>
      <c r="C172" s="0" t="s">
        <v>17</v>
      </c>
      <c r="D172" s="0" t="s">
        <v>85</v>
      </c>
      <c r="E172" s="0" t="s">
        <v>23</v>
      </c>
      <c r="F172" s="0" t="n">
        <v>4071.67</v>
      </c>
      <c r="G172" s="0" t="n">
        <v>8543.39</v>
      </c>
      <c r="H172" s="0" t="n">
        <v>10</v>
      </c>
    </row>
    <row r="173" customFormat="false" ht="15" hidden="false" customHeight="false" outlineLevel="0" collapsed="false">
      <c r="A173" s="0" t="n">
        <v>1145</v>
      </c>
      <c r="B173" s="0" t="s">
        <v>141</v>
      </c>
      <c r="C173" s="0" t="s">
        <v>17</v>
      </c>
      <c r="D173" s="0" t="s">
        <v>26</v>
      </c>
      <c r="E173" s="0" t="s">
        <v>19</v>
      </c>
      <c r="F173" s="0" t="n">
        <v>301.26</v>
      </c>
      <c r="G173" s="0" t="n">
        <v>392.28</v>
      </c>
      <c r="H173" s="0" t="n">
        <v>5</v>
      </c>
    </row>
    <row r="174" customFormat="false" ht="15" hidden="false" customHeight="false" outlineLevel="0" collapsed="false">
      <c r="A174" s="0" t="n">
        <v>1029</v>
      </c>
      <c r="B174" s="0" t="s">
        <v>87</v>
      </c>
      <c r="C174" s="0" t="s">
        <v>17</v>
      </c>
      <c r="D174" s="0" t="s">
        <v>42</v>
      </c>
      <c r="E174" s="0" t="s">
        <v>35</v>
      </c>
      <c r="F174" s="0" t="n">
        <v>1605.6</v>
      </c>
      <c r="G174" s="0" t="n">
        <v>1150.11</v>
      </c>
      <c r="H174" s="0" t="n">
        <v>4</v>
      </c>
    </row>
    <row r="175" customFormat="false" ht="15" hidden="false" customHeight="false" outlineLevel="0" collapsed="false">
      <c r="A175" s="0" t="n">
        <v>1279</v>
      </c>
      <c r="B175" s="0" t="s">
        <v>31</v>
      </c>
      <c r="C175" s="0" t="s">
        <v>17</v>
      </c>
      <c r="D175" s="0" t="s">
        <v>69</v>
      </c>
      <c r="E175" s="0" t="s">
        <v>23</v>
      </c>
      <c r="F175" s="0" t="n">
        <v>3696.74</v>
      </c>
      <c r="G175" s="0" t="n">
        <v>9929.61</v>
      </c>
      <c r="H175" s="0" t="n">
        <v>11</v>
      </c>
    </row>
    <row r="176" customFormat="false" ht="15" hidden="false" customHeight="false" outlineLevel="0" collapsed="false">
      <c r="A176" s="0" t="n">
        <v>1148</v>
      </c>
      <c r="B176" s="0" t="s">
        <v>177</v>
      </c>
      <c r="C176" s="0" t="s">
        <v>17</v>
      </c>
      <c r="D176" s="0" t="s">
        <v>69</v>
      </c>
      <c r="E176" s="0" t="s">
        <v>23</v>
      </c>
      <c r="F176" s="0" t="n">
        <v>3046.14</v>
      </c>
      <c r="G176" s="0" t="n">
        <v>2149.01</v>
      </c>
      <c r="H176" s="0" t="n">
        <v>4</v>
      </c>
    </row>
    <row r="177" customFormat="false" ht="15" hidden="false" customHeight="false" outlineLevel="0" collapsed="false">
      <c r="A177" s="0" t="n">
        <v>1003</v>
      </c>
      <c r="B177" s="0" t="s">
        <v>59</v>
      </c>
      <c r="C177" s="0" t="s">
        <v>25</v>
      </c>
      <c r="D177" s="0" t="s">
        <v>69</v>
      </c>
      <c r="E177" s="0" t="s">
        <v>23</v>
      </c>
      <c r="F177" s="0" t="n">
        <v>2816.28</v>
      </c>
      <c r="G177" s="0" t="n">
        <v>5247.42</v>
      </c>
      <c r="H177" s="0" t="n">
        <v>12</v>
      </c>
    </row>
    <row r="178" customFormat="false" ht="15" hidden="false" customHeight="false" outlineLevel="0" collapsed="false">
      <c r="A178" s="0" t="n">
        <v>1037</v>
      </c>
      <c r="B178" s="0" t="s">
        <v>178</v>
      </c>
      <c r="C178" s="0" t="s">
        <v>25</v>
      </c>
      <c r="D178" s="0" t="s">
        <v>42</v>
      </c>
      <c r="E178" s="0" t="s">
        <v>35</v>
      </c>
      <c r="F178" s="0" t="n">
        <v>5365.45</v>
      </c>
      <c r="G178" s="0" t="n">
        <v>3637.81</v>
      </c>
      <c r="H178" s="0" t="n">
        <v>4</v>
      </c>
    </row>
    <row r="179" customFormat="false" ht="15" hidden="false" customHeight="false" outlineLevel="0" collapsed="false">
      <c r="A179" s="0" t="n">
        <v>1030</v>
      </c>
      <c r="B179" s="0" t="s">
        <v>179</v>
      </c>
      <c r="C179" s="0" t="s">
        <v>17</v>
      </c>
      <c r="D179" s="0" t="s">
        <v>18</v>
      </c>
      <c r="E179" s="0" t="s">
        <v>19</v>
      </c>
      <c r="F179" s="0" t="n">
        <v>79.79</v>
      </c>
      <c r="G179" s="0" t="n">
        <v>316.63</v>
      </c>
      <c r="H179" s="0" t="n">
        <v>12</v>
      </c>
    </row>
    <row r="180" customFormat="false" ht="15" hidden="false" customHeight="false" outlineLevel="0" collapsed="false">
      <c r="A180" s="0" t="n">
        <v>1153</v>
      </c>
      <c r="B180" s="0" t="s">
        <v>44</v>
      </c>
      <c r="C180" s="0" t="s">
        <v>17</v>
      </c>
      <c r="D180" s="0" t="s">
        <v>32</v>
      </c>
      <c r="E180" s="0" t="s">
        <v>19</v>
      </c>
      <c r="F180" s="0" t="n">
        <v>464.78</v>
      </c>
      <c r="G180" s="0" t="n">
        <v>341.78</v>
      </c>
      <c r="H180" s="0" t="n">
        <v>3</v>
      </c>
    </row>
    <row r="181" customFormat="false" ht="15" hidden="false" customHeight="false" outlineLevel="0" collapsed="false">
      <c r="A181" s="0" t="n">
        <v>1194</v>
      </c>
      <c r="B181" s="0" t="s">
        <v>180</v>
      </c>
      <c r="C181" s="0" t="s">
        <v>25</v>
      </c>
      <c r="D181" s="0" t="s">
        <v>60</v>
      </c>
      <c r="E181" s="0" t="s">
        <v>23</v>
      </c>
      <c r="F181" s="0" t="n">
        <v>3878.5</v>
      </c>
      <c r="G181" s="0" t="n">
        <v>8289.54</v>
      </c>
      <c r="H181" s="0" t="n">
        <v>8</v>
      </c>
    </row>
    <row r="182" customFormat="false" ht="15" hidden="false" customHeight="false" outlineLevel="0" collapsed="false">
      <c r="A182" s="0" t="n">
        <v>1006</v>
      </c>
      <c r="B182" s="0" t="s">
        <v>74</v>
      </c>
      <c r="C182" s="0" t="s">
        <v>17</v>
      </c>
      <c r="D182" s="0" t="s">
        <v>32</v>
      </c>
      <c r="E182" s="0" t="s">
        <v>19</v>
      </c>
      <c r="F182" s="0" t="n">
        <v>585.21</v>
      </c>
      <c r="G182" s="0" t="n">
        <v>322.69</v>
      </c>
      <c r="H182" s="0" t="n">
        <v>2</v>
      </c>
    </row>
    <row r="183" customFormat="false" ht="15" hidden="false" customHeight="false" outlineLevel="0" collapsed="false">
      <c r="A183" s="0" t="n">
        <v>1038</v>
      </c>
      <c r="B183" s="0" t="s">
        <v>181</v>
      </c>
      <c r="C183" s="0" t="s">
        <v>37</v>
      </c>
      <c r="D183" s="0" t="s">
        <v>60</v>
      </c>
      <c r="E183" s="0" t="s">
        <v>23</v>
      </c>
      <c r="F183" s="0" t="n">
        <v>2564.12</v>
      </c>
      <c r="G183" s="0" t="n">
        <v>6848.81</v>
      </c>
      <c r="H183" s="0" t="n">
        <v>10</v>
      </c>
    </row>
    <row r="184" customFormat="false" ht="15" hidden="false" customHeight="false" outlineLevel="0" collapsed="false">
      <c r="A184" s="0" t="n">
        <v>1026</v>
      </c>
      <c r="B184" s="0" t="s">
        <v>182</v>
      </c>
      <c r="C184" s="0" t="s">
        <v>37</v>
      </c>
      <c r="D184" s="0" t="s">
        <v>60</v>
      </c>
      <c r="E184" s="0" t="s">
        <v>23</v>
      </c>
      <c r="F184" s="0" t="n">
        <v>1651.42</v>
      </c>
      <c r="G184" s="0" t="n">
        <v>2307.22</v>
      </c>
      <c r="H184" s="0" t="n">
        <v>9</v>
      </c>
    </row>
    <row r="185" customFormat="false" ht="15" hidden="false" customHeight="false" outlineLevel="0" collapsed="false">
      <c r="A185" s="0" t="n">
        <v>1033</v>
      </c>
      <c r="B185" s="0" t="s">
        <v>181</v>
      </c>
      <c r="C185" s="0" t="s">
        <v>37</v>
      </c>
      <c r="D185" s="0" t="s">
        <v>95</v>
      </c>
      <c r="E185" s="0" t="s">
        <v>23</v>
      </c>
      <c r="F185" s="0" t="n">
        <v>4497.35</v>
      </c>
      <c r="G185" s="0" t="n">
        <v>12553.94</v>
      </c>
      <c r="H185" s="0" t="n">
        <v>11</v>
      </c>
    </row>
    <row r="186" customFormat="false" ht="15" hidden="false" customHeight="false" outlineLevel="0" collapsed="false">
      <c r="A186" s="0" t="n">
        <v>1264</v>
      </c>
      <c r="B186" s="0" t="s">
        <v>90</v>
      </c>
      <c r="C186" s="0" t="s">
        <v>17</v>
      </c>
      <c r="D186" s="0" t="s">
        <v>26</v>
      </c>
      <c r="E186" s="0" t="s">
        <v>19</v>
      </c>
      <c r="F186" s="0" t="n">
        <v>333.24</v>
      </c>
      <c r="G186" s="0" t="n">
        <v>442.35</v>
      </c>
      <c r="H186" s="0" t="n">
        <v>6</v>
      </c>
    </row>
    <row r="187" customFormat="false" ht="15" hidden="false" customHeight="false" outlineLevel="0" collapsed="false">
      <c r="A187" s="0" t="n">
        <v>1116</v>
      </c>
      <c r="B187" s="0" t="s">
        <v>183</v>
      </c>
      <c r="C187" s="0" t="s">
        <v>17</v>
      </c>
      <c r="D187" s="0" t="s">
        <v>18</v>
      </c>
      <c r="E187" s="0" t="s">
        <v>19</v>
      </c>
      <c r="F187" s="0" t="n">
        <v>71.92</v>
      </c>
      <c r="G187" s="0" t="n">
        <v>205.98</v>
      </c>
      <c r="H187" s="0" t="n">
        <v>10</v>
      </c>
    </row>
    <row r="188" customFormat="false" ht="15" hidden="false" customHeight="false" outlineLevel="0" collapsed="false">
      <c r="A188" s="0" t="n">
        <v>1157</v>
      </c>
      <c r="B188" s="0" t="s">
        <v>184</v>
      </c>
      <c r="C188" s="0" t="s">
        <v>17</v>
      </c>
      <c r="D188" s="0" t="s">
        <v>66</v>
      </c>
      <c r="E188" s="0" t="s">
        <v>30</v>
      </c>
      <c r="F188" s="0" t="n">
        <v>8667.77</v>
      </c>
      <c r="G188" s="0" t="n">
        <v>4073.9</v>
      </c>
      <c r="H188" s="0" t="n">
        <v>5</v>
      </c>
    </row>
    <row r="189" customFormat="false" ht="15" hidden="false" customHeight="false" outlineLevel="0" collapsed="false">
      <c r="A189" s="0" t="n">
        <v>1217</v>
      </c>
      <c r="B189" s="0" t="s">
        <v>185</v>
      </c>
      <c r="C189" s="0" t="s">
        <v>21</v>
      </c>
      <c r="D189" s="0" t="s">
        <v>42</v>
      </c>
      <c r="E189" s="0" t="s">
        <v>35</v>
      </c>
      <c r="F189" s="0" t="n">
        <v>5433.09</v>
      </c>
      <c r="G189" s="0" t="n">
        <v>8443.11</v>
      </c>
      <c r="H189" s="0" t="n">
        <v>10</v>
      </c>
    </row>
    <row r="190" customFormat="false" ht="15" hidden="false" customHeight="false" outlineLevel="0" collapsed="false">
      <c r="A190" s="0" t="n">
        <v>1106</v>
      </c>
      <c r="B190" s="0" t="s">
        <v>186</v>
      </c>
      <c r="C190" s="0" t="s">
        <v>37</v>
      </c>
      <c r="D190" s="0" t="s">
        <v>42</v>
      </c>
      <c r="E190" s="0" t="s">
        <v>35</v>
      </c>
      <c r="F190" s="0" t="n">
        <v>4687.91</v>
      </c>
      <c r="G190" s="0" t="n">
        <v>3008.16</v>
      </c>
      <c r="H190" s="0" t="n">
        <v>3</v>
      </c>
    </row>
    <row r="191" customFormat="false" ht="15" hidden="false" customHeight="false" outlineLevel="0" collapsed="false">
      <c r="A191" s="0" t="n">
        <v>1201</v>
      </c>
      <c r="B191" s="0" t="s">
        <v>187</v>
      </c>
      <c r="C191" s="0" t="s">
        <v>21</v>
      </c>
      <c r="D191" s="0" t="s">
        <v>32</v>
      </c>
      <c r="E191" s="0" t="s">
        <v>19</v>
      </c>
      <c r="F191" s="0" t="n">
        <v>220.72</v>
      </c>
      <c r="G191" s="0" t="n">
        <v>128.19</v>
      </c>
      <c r="H191" s="0" t="n">
        <v>2</v>
      </c>
    </row>
    <row r="192" customFormat="false" ht="15" hidden="false" customHeight="false" outlineLevel="0" collapsed="false">
      <c r="A192" s="0" t="n">
        <v>1103</v>
      </c>
      <c r="B192" s="0" t="s">
        <v>103</v>
      </c>
      <c r="C192" s="0" t="s">
        <v>25</v>
      </c>
      <c r="D192" s="0" t="s">
        <v>32</v>
      </c>
      <c r="E192" s="0" t="s">
        <v>19</v>
      </c>
      <c r="F192" s="0" t="n">
        <v>585.86</v>
      </c>
      <c r="G192" s="0" t="n">
        <v>182.01</v>
      </c>
      <c r="H192" s="0" t="n">
        <v>1</v>
      </c>
    </row>
    <row r="193" customFormat="false" ht="15" hidden="false" customHeight="false" outlineLevel="0" collapsed="false">
      <c r="A193" s="0" t="n">
        <v>1282</v>
      </c>
      <c r="B193" s="0" t="s">
        <v>188</v>
      </c>
      <c r="C193" s="0" t="s">
        <v>21</v>
      </c>
      <c r="D193" s="0" t="s">
        <v>95</v>
      </c>
      <c r="E193" s="0" t="s">
        <v>23</v>
      </c>
      <c r="F193" s="0" t="n">
        <v>2327.95</v>
      </c>
      <c r="G193" s="0" t="n">
        <v>1065.89</v>
      </c>
      <c r="H193" s="0" t="n">
        <v>3</v>
      </c>
    </row>
    <row r="194" customFormat="false" ht="15" hidden="false" customHeight="false" outlineLevel="0" collapsed="false">
      <c r="A194" s="0" t="n">
        <v>1292</v>
      </c>
      <c r="B194" s="0" t="s">
        <v>87</v>
      </c>
      <c r="C194" s="0" t="s">
        <v>25</v>
      </c>
      <c r="D194" s="0" t="s">
        <v>66</v>
      </c>
      <c r="E194" s="0" t="s">
        <v>30</v>
      </c>
      <c r="F194" s="0" t="n">
        <v>11382.8</v>
      </c>
      <c r="G194" s="0" t="n">
        <v>23215.08</v>
      </c>
      <c r="H194" s="0" t="n">
        <v>11</v>
      </c>
    </row>
    <row r="195" customFormat="false" ht="15" hidden="false" customHeight="false" outlineLevel="0" collapsed="false">
      <c r="A195" s="0" t="n">
        <v>1203</v>
      </c>
      <c r="B195" s="0" t="s">
        <v>67</v>
      </c>
      <c r="C195" s="0" t="s">
        <v>37</v>
      </c>
      <c r="D195" s="0" t="s">
        <v>45</v>
      </c>
      <c r="E195" s="0" t="s">
        <v>35</v>
      </c>
      <c r="F195" s="0" t="n">
        <v>4002.9</v>
      </c>
      <c r="G195" s="0" t="n">
        <v>5547.35</v>
      </c>
      <c r="H195" s="0" t="n">
        <v>10</v>
      </c>
    </row>
    <row r="196" customFormat="false" ht="15" hidden="false" customHeight="false" outlineLevel="0" collapsed="false">
      <c r="A196" s="0" t="n">
        <v>1294</v>
      </c>
      <c r="B196" s="0" t="s">
        <v>189</v>
      </c>
      <c r="C196" s="0" t="s">
        <v>25</v>
      </c>
      <c r="D196" s="0" t="s">
        <v>69</v>
      </c>
      <c r="E196" s="0" t="s">
        <v>23</v>
      </c>
      <c r="F196" s="0" t="n">
        <v>3475.54</v>
      </c>
      <c r="G196" s="0" t="n">
        <v>11255.21</v>
      </c>
      <c r="H196" s="0" t="n">
        <v>12</v>
      </c>
    </row>
    <row r="197" customFormat="false" ht="15" hidden="false" customHeight="false" outlineLevel="0" collapsed="false">
      <c r="A197" s="0" t="n">
        <v>1132</v>
      </c>
      <c r="B197" s="0" t="s">
        <v>190</v>
      </c>
      <c r="C197" s="0" t="s">
        <v>25</v>
      </c>
      <c r="D197" s="0" t="s">
        <v>45</v>
      </c>
      <c r="E197" s="0" t="s">
        <v>35</v>
      </c>
      <c r="F197" s="0" t="n">
        <v>3658.73</v>
      </c>
      <c r="G197" s="0" t="n">
        <v>1873.67</v>
      </c>
      <c r="H197" s="0" t="n">
        <v>4</v>
      </c>
    </row>
    <row r="198" customFormat="false" ht="15" hidden="false" customHeight="false" outlineLevel="0" collapsed="false">
      <c r="A198" s="0" t="n">
        <v>1144</v>
      </c>
      <c r="B198" s="0" t="s">
        <v>191</v>
      </c>
      <c r="C198" s="0" t="s">
        <v>21</v>
      </c>
      <c r="D198" s="0" t="s">
        <v>95</v>
      </c>
      <c r="E198" s="0" t="s">
        <v>23</v>
      </c>
      <c r="F198" s="0" t="n">
        <v>1384.51</v>
      </c>
      <c r="G198" s="0" t="n">
        <v>2375.94</v>
      </c>
      <c r="H198" s="0" t="n">
        <v>9</v>
      </c>
    </row>
    <row r="199" customFormat="false" ht="15" hidden="false" customHeight="false" outlineLevel="0" collapsed="false">
      <c r="A199" s="0" t="n">
        <v>1042</v>
      </c>
      <c r="B199" s="0" t="s">
        <v>192</v>
      </c>
      <c r="C199" s="0" t="s">
        <v>25</v>
      </c>
      <c r="D199" s="0" t="s">
        <v>18</v>
      </c>
      <c r="E199" s="0" t="s">
        <v>19</v>
      </c>
      <c r="F199" s="0" t="n">
        <v>215</v>
      </c>
      <c r="G199" s="0" t="n">
        <v>622.55</v>
      </c>
      <c r="H199" s="0" t="n">
        <v>11</v>
      </c>
    </row>
    <row r="200" customFormat="false" ht="15" hidden="false" customHeight="false" outlineLevel="0" collapsed="false">
      <c r="A200" s="0" t="n">
        <v>1011</v>
      </c>
      <c r="B200" s="0" t="s">
        <v>193</v>
      </c>
      <c r="C200" s="0" t="s">
        <v>21</v>
      </c>
      <c r="D200" s="0" t="s">
        <v>51</v>
      </c>
      <c r="E200" s="0" t="s">
        <v>19</v>
      </c>
      <c r="F200" s="0" t="n">
        <v>501.99</v>
      </c>
      <c r="G200" s="0" t="n">
        <v>724.89</v>
      </c>
      <c r="H200" s="0" t="n">
        <v>4</v>
      </c>
    </row>
    <row r="201" customFormat="false" ht="15" hidden="false" customHeight="false" outlineLevel="0" collapsed="false">
      <c r="A201" s="0" t="n">
        <v>1180</v>
      </c>
      <c r="B201" s="0" t="s">
        <v>194</v>
      </c>
      <c r="C201" s="0" t="s">
        <v>17</v>
      </c>
      <c r="D201" s="0" t="s">
        <v>29</v>
      </c>
      <c r="E201" s="0" t="s">
        <v>30</v>
      </c>
      <c r="F201" s="0" t="n">
        <v>5826.08</v>
      </c>
      <c r="G201" s="0" t="n">
        <v>1709.98</v>
      </c>
      <c r="H201" s="0" t="n">
        <v>2</v>
      </c>
    </row>
    <row r="202" customFormat="false" ht="15" hidden="false" customHeight="false" outlineLevel="0" collapsed="false">
      <c r="A202" s="0" t="n">
        <v>1008</v>
      </c>
      <c r="B202" s="0" t="s">
        <v>147</v>
      </c>
      <c r="D202" s="0" t="s">
        <v>32</v>
      </c>
      <c r="E202" s="0" t="s">
        <v>19</v>
      </c>
      <c r="F202" s="0" t="n">
        <v>202.89</v>
      </c>
      <c r="G202" s="0" t="n">
        <v>464.61</v>
      </c>
      <c r="H202" s="0" t="n">
        <v>7</v>
      </c>
    </row>
    <row r="203" customFormat="false" ht="15" hidden="false" customHeight="false" outlineLevel="0" collapsed="false">
      <c r="A203" s="0" t="n">
        <v>1149</v>
      </c>
      <c r="B203" s="0" t="s">
        <v>195</v>
      </c>
      <c r="C203" s="0" t="s">
        <v>25</v>
      </c>
      <c r="D203" s="0" t="s">
        <v>53</v>
      </c>
      <c r="E203" s="0" t="s">
        <v>30</v>
      </c>
      <c r="F203" s="0" t="n">
        <v>11082.34</v>
      </c>
      <c r="G203" s="0" t="n">
        <v>3492.29</v>
      </c>
      <c r="H203" s="0" t="n">
        <v>2</v>
      </c>
    </row>
    <row r="204" customFormat="false" ht="15" hidden="false" customHeight="false" outlineLevel="0" collapsed="false">
      <c r="A204" s="0" t="n">
        <v>1075</v>
      </c>
      <c r="B204" s="0" t="s">
        <v>103</v>
      </c>
      <c r="C204" s="0" t="s">
        <v>25</v>
      </c>
      <c r="D204" s="0" t="s">
        <v>34</v>
      </c>
      <c r="E204" s="0" t="s">
        <v>35</v>
      </c>
      <c r="F204" s="0" t="n">
        <v>1533.18</v>
      </c>
      <c r="G204" s="0" t="n">
        <v>1647.09</v>
      </c>
      <c r="H204" s="0" t="n">
        <v>8</v>
      </c>
    </row>
    <row r="205" customFormat="false" ht="15" hidden="false" customHeight="false" outlineLevel="0" collapsed="false">
      <c r="A205" s="0" t="n">
        <v>1224</v>
      </c>
      <c r="B205" s="0" t="s">
        <v>196</v>
      </c>
      <c r="C205" s="0" t="s">
        <v>17</v>
      </c>
      <c r="D205" s="0" t="s">
        <v>60</v>
      </c>
      <c r="E205" s="0" t="s">
        <v>23</v>
      </c>
      <c r="F205" s="0" t="n">
        <v>3607.71</v>
      </c>
      <c r="G205" s="0" t="n">
        <v>2111.13</v>
      </c>
      <c r="H205" s="0" t="n">
        <v>3</v>
      </c>
    </row>
    <row r="206" customFormat="false" ht="15" hidden="false" customHeight="false" outlineLevel="0" collapsed="false">
      <c r="A206" s="0" t="n">
        <v>1231</v>
      </c>
      <c r="B206" s="0" t="s">
        <v>113</v>
      </c>
      <c r="C206" s="0" t="s">
        <v>37</v>
      </c>
      <c r="D206" s="0" t="s">
        <v>60</v>
      </c>
      <c r="E206" s="0" t="s">
        <v>23</v>
      </c>
      <c r="F206" s="0" t="n">
        <v>3511.88</v>
      </c>
      <c r="G206" s="0" t="n">
        <v>3097.77</v>
      </c>
      <c r="H206" s="0" t="n">
        <v>4</v>
      </c>
    </row>
    <row r="207" customFormat="false" ht="15" hidden="false" customHeight="false" outlineLevel="0" collapsed="false">
      <c r="A207" s="0" t="n">
        <v>1249</v>
      </c>
      <c r="B207" s="0" t="s">
        <v>174</v>
      </c>
      <c r="C207" s="0" t="s">
        <v>21</v>
      </c>
      <c r="D207" s="0" t="s">
        <v>42</v>
      </c>
      <c r="E207" s="0" t="s">
        <v>35</v>
      </c>
      <c r="F207" s="0" t="n">
        <v>4251.02</v>
      </c>
      <c r="G207" s="0" t="n">
        <v>4234.01</v>
      </c>
      <c r="H207" s="0" t="n">
        <v>6</v>
      </c>
    </row>
    <row r="208" customFormat="false" ht="15" hidden="false" customHeight="false" outlineLevel="0" collapsed="false">
      <c r="A208" s="0" t="n">
        <v>1066</v>
      </c>
      <c r="B208" s="0" t="s">
        <v>197</v>
      </c>
      <c r="C208" s="0" t="s">
        <v>17</v>
      </c>
      <c r="D208" s="0" t="s">
        <v>18</v>
      </c>
      <c r="E208" s="0" t="s">
        <v>19</v>
      </c>
      <c r="G208" s="0" t="n">
        <v>543</v>
      </c>
      <c r="H208" s="0" t="n">
        <v>11</v>
      </c>
    </row>
    <row r="209" customFormat="false" ht="15" hidden="false" customHeight="false" outlineLevel="0" collapsed="false">
      <c r="A209" s="0" t="n">
        <v>1261</v>
      </c>
      <c r="B209" s="0" t="s">
        <v>105</v>
      </c>
      <c r="C209" s="0" t="s">
        <v>21</v>
      </c>
      <c r="D209" s="0" t="s">
        <v>95</v>
      </c>
      <c r="E209" s="0" t="s">
        <v>23</v>
      </c>
      <c r="F209" s="0" t="n">
        <v>2586.9</v>
      </c>
      <c r="G209" s="0" t="n">
        <v>3217.46</v>
      </c>
      <c r="H209" s="0" t="n">
        <v>5</v>
      </c>
    </row>
    <row r="210" customFormat="false" ht="15" hidden="false" customHeight="false" outlineLevel="0" collapsed="false">
      <c r="A210" s="0" t="n">
        <v>1036</v>
      </c>
      <c r="B210" s="0" t="s">
        <v>196</v>
      </c>
      <c r="C210" s="0" t="s">
        <v>17</v>
      </c>
      <c r="D210" s="0" t="s">
        <v>45</v>
      </c>
      <c r="E210" s="0" t="s">
        <v>35</v>
      </c>
      <c r="F210" s="0" t="n">
        <v>5480.32</v>
      </c>
      <c r="G210" s="0" t="n">
        <v>10962.32</v>
      </c>
      <c r="H210" s="0" t="n">
        <v>12</v>
      </c>
    </row>
    <row r="211" customFormat="false" ht="15" hidden="false" customHeight="false" outlineLevel="0" collapsed="false">
      <c r="A211" s="0" t="n">
        <v>1160</v>
      </c>
      <c r="B211" s="0" t="s">
        <v>62</v>
      </c>
      <c r="C211" s="0" t="s">
        <v>25</v>
      </c>
      <c r="D211" s="0" t="s">
        <v>34</v>
      </c>
      <c r="E211" s="0" t="s">
        <v>35</v>
      </c>
      <c r="F211" s="0" t="n">
        <v>1625.79</v>
      </c>
      <c r="G211" s="0" t="n">
        <v>2838.53</v>
      </c>
      <c r="H211" s="0" t="n">
        <v>11</v>
      </c>
    </row>
    <row r="212" customFormat="false" ht="15" hidden="false" customHeight="false" outlineLevel="0" collapsed="false">
      <c r="A212" s="0" t="n">
        <v>1300</v>
      </c>
      <c r="B212" s="0" t="s">
        <v>166</v>
      </c>
      <c r="C212" s="0" t="s">
        <v>17</v>
      </c>
      <c r="D212" s="0" t="s">
        <v>47</v>
      </c>
      <c r="E212" s="0" t="s">
        <v>30</v>
      </c>
      <c r="F212" s="0" t="n">
        <v>3324.01</v>
      </c>
      <c r="G212" s="0" t="n">
        <v>3197.25</v>
      </c>
      <c r="H212" s="0" t="n">
        <v>6</v>
      </c>
    </row>
    <row r="213" customFormat="false" ht="15" hidden="false" customHeight="false" outlineLevel="0" collapsed="false">
      <c r="A213" s="0" t="n">
        <v>1121</v>
      </c>
      <c r="B213" s="0" t="s">
        <v>198</v>
      </c>
      <c r="C213" s="0" t="s">
        <v>17</v>
      </c>
      <c r="D213" s="0" t="s">
        <v>45</v>
      </c>
      <c r="E213" s="0" t="s">
        <v>35</v>
      </c>
      <c r="F213" s="0" t="n">
        <v>3155.75</v>
      </c>
      <c r="G213" s="0" t="n">
        <v>434.68</v>
      </c>
      <c r="H213" s="0" t="n">
        <v>1</v>
      </c>
    </row>
    <row r="214" customFormat="false" ht="15" hidden="false" customHeight="false" outlineLevel="0" collapsed="false">
      <c r="A214" s="0" t="n">
        <v>1171</v>
      </c>
      <c r="B214" s="0" t="s">
        <v>33</v>
      </c>
      <c r="C214" s="0" t="s">
        <v>37</v>
      </c>
      <c r="D214" s="0" t="s">
        <v>18</v>
      </c>
      <c r="E214" s="0" t="s">
        <v>19</v>
      </c>
      <c r="F214" s="0" t="n">
        <v>516.01</v>
      </c>
      <c r="G214" s="0" t="n">
        <v>1177.55</v>
      </c>
      <c r="H214" s="0" t="n">
        <v>8</v>
      </c>
    </row>
    <row r="215" customFormat="false" ht="15" hidden="false" customHeight="false" outlineLevel="0" collapsed="false">
      <c r="A215" s="0" t="n">
        <v>1303</v>
      </c>
      <c r="B215" s="0" t="s">
        <v>174</v>
      </c>
      <c r="C215" s="0" t="s">
        <v>37</v>
      </c>
      <c r="D215" s="0" t="s">
        <v>51</v>
      </c>
      <c r="E215" s="0" t="s">
        <v>19</v>
      </c>
      <c r="F215" s="0" t="n">
        <v>305.97</v>
      </c>
      <c r="G215" s="0" t="n">
        <v>141.94</v>
      </c>
      <c r="H215" s="0" t="n">
        <v>2</v>
      </c>
    </row>
    <row r="216" customFormat="false" ht="15" hidden="false" customHeight="false" outlineLevel="0" collapsed="false">
      <c r="A216" s="0" t="n">
        <v>1234</v>
      </c>
      <c r="B216" s="0" t="s">
        <v>199</v>
      </c>
      <c r="C216" s="0" t="s">
        <v>21</v>
      </c>
      <c r="D216" s="0" t="s">
        <v>42</v>
      </c>
      <c r="E216" s="0" t="s">
        <v>35</v>
      </c>
      <c r="F216" s="0" t="n">
        <v>4601.77</v>
      </c>
      <c r="G216" s="0" t="n">
        <v>949.32</v>
      </c>
      <c r="H216" s="0" t="n">
        <v>1</v>
      </c>
    </row>
    <row r="217" customFormat="false" ht="15" hidden="false" customHeight="false" outlineLevel="0" collapsed="false">
      <c r="A217" s="0" t="n">
        <v>1193</v>
      </c>
      <c r="B217" s="0" t="s">
        <v>200</v>
      </c>
      <c r="C217" s="0" t="s">
        <v>17</v>
      </c>
      <c r="D217" s="0" t="s">
        <v>18</v>
      </c>
      <c r="E217" s="0" t="s">
        <v>19</v>
      </c>
      <c r="F217" s="0" t="n">
        <v>279.73</v>
      </c>
      <c r="G217" s="0" t="n">
        <v>686.28</v>
      </c>
      <c r="H217" s="0" t="n">
        <v>11</v>
      </c>
    </row>
    <row r="218" customFormat="false" ht="15" hidden="false" customHeight="false" outlineLevel="0" collapsed="false">
      <c r="A218" s="0" t="n">
        <v>1286</v>
      </c>
      <c r="B218" s="0" t="s">
        <v>141</v>
      </c>
      <c r="C218" s="0" t="s">
        <v>25</v>
      </c>
      <c r="D218" s="0" t="s">
        <v>26</v>
      </c>
      <c r="E218" s="0" t="s">
        <v>19</v>
      </c>
      <c r="F218" s="0" t="n">
        <v>318.95</v>
      </c>
      <c r="G218" s="0" t="n">
        <v>1132.76</v>
      </c>
      <c r="H218" s="0" t="n">
        <v>12</v>
      </c>
    </row>
    <row r="219" customFormat="false" ht="15" hidden="false" customHeight="false" outlineLevel="0" collapsed="false">
      <c r="A219" s="0" t="n">
        <v>1311</v>
      </c>
      <c r="B219" s="0" t="s">
        <v>201</v>
      </c>
      <c r="C219" s="0" t="s">
        <v>21</v>
      </c>
      <c r="D219" s="0" t="s">
        <v>34</v>
      </c>
      <c r="E219" s="0" t="s">
        <v>35</v>
      </c>
      <c r="G219" s="0" t="n">
        <v>1611.73</v>
      </c>
      <c r="H219" s="0" t="n">
        <v>7</v>
      </c>
    </row>
    <row r="220" customFormat="false" ht="15" hidden="false" customHeight="false" outlineLevel="0" collapsed="false">
      <c r="A220" s="0" t="n">
        <v>1268</v>
      </c>
      <c r="B220" s="0" t="s">
        <v>172</v>
      </c>
      <c r="C220" s="0" t="s">
        <v>37</v>
      </c>
      <c r="D220" s="0" t="s">
        <v>42</v>
      </c>
      <c r="E220" s="0" t="s">
        <v>35</v>
      </c>
      <c r="F220" s="0" t="n">
        <v>3166.09</v>
      </c>
      <c r="G220" s="0" t="n">
        <v>3672.62</v>
      </c>
      <c r="H220" s="0" t="n">
        <v>9</v>
      </c>
    </row>
    <row r="221" customFormat="false" ht="15" hidden="false" customHeight="false" outlineLevel="0" collapsed="false">
      <c r="A221" s="0" t="n">
        <v>1080</v>
      </c>
      <c r="B221" s="0" t="s">
        <v>202</v>
      </c>
      <c r="C221" s="0" t="s">
        <v>25</v>
      </c>
      <c r="D221" s="0" t="s">
        <v>34</v>
      </c>
      <c r="E221" s="0" t="s">
        <v>35</v>
      </c>
      <c r="F221" s="0" t="n">
        <v>2373.62</v>
      </c>
      <c r="G221" s="0" t="n">
        <v>1502.76</v>
      </c>
      <c r="H221" s="0" t="n">
        <v>4</v>
      </c>
    </row>
    <row r="222" customFormat="false" ht="15" hidden="false" customHeight="false" outlineLevel="0" collapsed="false">
      <c r="A222" s="0" t="n">
        <v>1192</v>
      </c>
      <c r="B222" s="0" t="s">
        <v>203</v>
      </c>
      <c r="C222" s="0" t="s">
        <v>17</v>
      </c>
      <c r="D222" s="0" t="s">
        <v>32</v>
      </c>
      <c r="E222" s="0" t="s">
        <v>19</v>
      </c>
      <c r="F222" s="0" t="n">
        <v>60.31</v>
      </c>
      <c r="G222" s="0" t="n">
        <v>162.21</v>
      </c>
      <c r="H222" s="0" t="n">
        <v>7</v>
      </c>
    </row>
    <row r="223" customFormat="false" ht="15" hidden="false" customHeight="false" outlineLevel="0" collapsed="false">
      <c r="A223" s="0" t="n">
        <v>1136</v>
      </c>
      <c r="B223" s="0" t="s">
        <v>31</v>
      </c>
      <c r="C223" s="0" t="s">
        <v>17</v>
      </c>
      <c r="D223" s="0" t="s">
        <v>66</v>
      </c>
      <c r="E223" s="0" t="s">
        <v>30</v>
      </c>
      <c r="F223" s="0" t="n">
        <v>8420.96</v>
      </c>
      <c r="G223" s="0" t="n">
        <v>6452.04</v>
      </c>
      <c r="H223" s="0" t="n">
        <v>6</v>
      </c>
    </row>
    <row r="224" customFormat="false" ht="15" hidden="false" customHeight="false" outlineLevel="0" collapsed="false">
      <c r="A224" s="0" t="n">
        <v>1313</v>
      </c>
      <c r="B224" s="0" t="s">
        <v>68</v>
      </c>
      <c r="C224" s="0" t="s">
        <v>17</v>
      </c>
      <c r="D224" s="0" t="s">
        <v>22</v>
      </c>
      <c r="E224" s="0" t="s">
        <v>23</v>
      </c>
      <c r="F224" s="0" t="n">
        <v>2312.81</v>
      </c>
      <c r="G224" s="0" t="n">
        <v>2810.48</v>
      </c>
      <c r="H224" s="0" t="n">
        <v>5</v>
      </c>
    </row>
    <row r="225" customFormat="false" ht="15" hidden="false" customHeight="false" outlineLevel="0" collapsed="false">
      <c r="A225" s="0" t="n">
        <v>1120</v>
      </c>
      <c r="B225" s="0" t="s">
        <v>192</v>
      </c>
      <c r="C225" s="0" t="s">
        <v>21</v>
      </c>
      <c r="D225" s="0" t="s">
        <v>45</v>
      </c>
      <c r="E225" s="0" t="s">
        <v>35</v>
      </c>
      <c r="F225" s="0" t="n">
        <v>4888.25</v>
      </c>
      <c r="G225" s="0" t="n">
        <v>1364.57</v>
      </c>
      <c r="H225" s="0" t="n">
        <v>2</v>
      </c>
    </row>
    <row r="226" customFormat="false" ht="15" hidden="false" customHeight="false" outlineLevel="0" collapsed="false">
      <c r="A226" s="0" t="n">
        <v>1105</v>
      </c>
      <c r="B226" s="0" t="s">
        <v>110</v>
      </c>
      <c r="C226" s="0" t="s">
        <v>37</v>
      </c>
      <c r="D226" s="0" t="s">
        <v>51</v>
      </c>
      <c r="E226" s="0" t="s">
        <v>19</v>
      </c>
      <c r="F226" s="0" t="n">
        <v>112.75</v>
      </c>
      <c r="G226" s="0" t="n">
        <v>192.19</v>
      </c>
      <c r="H226" s="0" t="n">
        <v>8</v>
      </c>
    </row>
    <row r="227" customFormat="false" ht="15" hidden="false" customHeight="false" outlineLevel="0" collapsed="false">
      <c r="A227" s="0" t="n">
        <v>1139</v>
      </c>
      <c r="B227" s="0" t="s">
        <v>204</v>
      </c>
      <c r="C227" s="0" t="s">
        <v>17</v>
      </c>
      <c r="D227" s="0" t="s">
        <v>66</v>
      </c>
      <c r="E227" s="0" t="s">
        <v>30</v>
      </c>
      <c r="F227" s="0" t="n">
        <v>9186.96</v>
      </c>
      <c r="G227" s="0" t="n">
        <v>9303.35</v>
      </c>
      <c r="H227" s="0" t="n">
        <v>11</v>
      </c>
    </row>
    <row r="228" customFormat="false" ht="15" hidden="false" customHeight="false" outlineLevel="0" collapsed="false">
      <c r="A228" s="0" t="n">
        <v>1310</v>
      </c>
      <c r="B228" s="0" t="s">
        <v>205</v>
      </c>
      <c r="C228" s="0" t="s">
        <v>25</v>
      </c>
      <c r="D228" s="0" t="s">
        <v>95</v>
      </c>
      <c r="E228" s="0" t="s">
        <v>23</v>
      </c>
      <c r="F228" s="0" t="n">
        <v>2490.15</v>
      </c>
      <c r="G228" s="0" t="n">
        <v>2252.75</v>
      </c>
      <c r="H228" s="0" t="n">
        <v>7</v>
      </c>
    </row>
    <row r="229" customFormat="false" ht="15" hidden="false" customHeight="false" outlineLevel="0" collapsed="false">
      <c r="A229" s="0" t="n">
        <v>1142</v>
      </c>
      <c r="B229" s="0" t="s">
        <v>146</v>
      </c>
      <c r="C229" s="0" t="s">
        <v>25</v>
      </c>
      <c r="D229" s="0" t="s">
        <v>29</v>
      </c>
      <c r="E229" s="0" t="s">
        <v>30</v>
      </c>
      <c r="F229" s="0" t="n">
        <v>10772.98</v>
      </c>
      <c r="G229" s="0" t="n">
        <v>16629.74</v>
      </c>
      <c r="H229" s="0" t="n">
        <v>10</v>
      </c>
    </row>
    <row r="230" customFormat="false" ht="15" hidden="false" customHeight="false" outlineLevel="0" collapsed="false">
      <c r="A230" s="0" t="n">
        <v>1016</v>
      </c>
      <c r="B230" s="0" t="s">
        <v>109</v>
      </c>
      <c r="C230" s="0" t="s">
        <v>37</v>
      </c>
      <c r="D230" s="0" t="s">
        <v>34</v>
      </c>
      <c r="E230" s="0" t="s">
        <v>35</v>
      </c>
      <c r="F230" s="0" t="n">
        <v>3762.32</v>
      </c>
      <c r="G230" s="0" t="n">
        <v>4112.82</v>
      </c>
      <c r="H230" s="0" t="n">
        <v>7</v>
      </c>
    </row>
    <row r="231" customFormat="false" ht="15" hidden="false" customHeight="false" outlineLevel="0" collapsed="false">
      <c r="A231" s="0" t="n">
        <v>1128</v>
      </c>
      <c r="B231" s="0" t="s">
        <v>130</v>
      </c>
      <c r="C231" s="0" t="s">
        <v>17</v>
      </c>
      <c r="D231" s="0" t="s">
        <v>45</v>
      </c>
      <c r="E231" s="0" t="s">
        <v>35</v>
      </c>
      <c r="F231" s="0" t="n">
        <v>3570.44</v>
      </c>
      <c r="H231" s="0" t="n">
        <v>8</v>
      </c>
    </row>
    <row r="232" customFormat="false" ht="15" hidden="false" customHeight="false" outlineLevel="0" collapsed="false">
      <c r="A232" s="0" t="n">
        <v>1087</v>
      </c>
      <c r="B232" s="0" t="s">
        <v>206</v>
      </c>
      <c r="C232" s="0" t="s">
        <v>25</v>
      </c>
      <c r="D232" s="0" t="s">
        <v>69</v>
      </c>
      <c r="E232" s="0" t="s">
        <v>23</v>
      </c>
      <c r="F232" s="0" t="n">
        <v>1748.1</v>
      </c>
      <c r="G232" s="0" t="n">
        <v>3755.41</v>
      </c>
      <c r="H232" s="0" t="n">
        <v>12</v>
      </c>
    </row>
    <row r="233" customFormat="false" ht="15" hidden="false" customHeight="false" outlineLevel="0" collapsed="false">
      <c r="A233" s="0" t="n">
        <v>1172</v>
      </c>
      <c r="B233" s="0" t="s">
        <v>207</v>
      </c>
      <c r="C233" s="0" t="s">
        <v>17</v>
      </c>
      <c r="D233" s="0" t="s">
        <v>95</v>
      </c>
      <c r="E233" s="0" t="s">
        <v>23</v>
      </c>
      <c r="F233" s="0" t="n">
        <v>1991.81</v>
      </c>
      <c r="G233" s="0" t="n">
        <v>572.58</v>
      </c>
      <c r="H233" s="0" t="n">
        <v>2</v>
      </c>
    </row>
    <row r="234" customFormat="false" ht="15" hidden="false" customHeight="false" outlineLevel="0" collapsed="false">
      <c r="A234" s="0" t="n">
        <v>1061</v>
      </c>
      <c r="B234" s="0" t="s">
        <v>208</v>
      </c>
      <c r="C234" s="0" t="s">
        <v>25</v>
      </c>
      <c r="D234" s="0" t="s">
        <v>95</v>
      </c>
      <c r="E234" s="0" t="s">
        <v>23</v>
      </c>
      <c r="F234" s="0" t="n">
        <v>3422.51</v>
      </c>
      <c r="G234" s="0" t="n">
        <v>411.63</v>
      </c>
      <c r="H234" s="0" t="n">
        <v>1</v>
      </c>
    </row>
    <row r="235" customFormat="false" ht="15" hidden="false" customHeight="false" outlineLevel="0" collapsed="false">
      <c r="A235" s="0" t="n">
        <v>1098</v>
      </c>
      <c r="B235" s="0" t="s">
        <v>89</v>
      </c>
      <c r="C235" s="0" t="s">
        <v>17</v>
      </c>
      <c r="D235" s="0" t="s">
        <v>34</v>
      </c>
      <c r="E235" s="0" t="s">
        <v>35</v>
      </c>
      <c r="F235" s="0" t="n">
        <v>1600.13</v>
      </c>
      <c r="G235" s="0" t="n">
        <v>202.56</v>
      </c>
      <c r="H235" s="0" t="n">
        <v>1</v>
      </c>
    </row>
    <row r="236" customFormat="false" ht="15" hidden="false" customHeight="false" outlineLevel="0" collapsed="false">
      <c r="A236" s="0" t="n">
        <v>1028</v>
      </c>
      <c r="B236" s="0" t="s">
        <v>209</v>
      </c>
      <c r="C236" s="0" t="s">
        <v>17</v>
      </c>
      <c r="D236" s="0" t="s">
        <v>53</v>
      </c>
      <c r="E236" s="0" t="s">
        <v>30</v>
      </c>
      <c r="F236" s="0" t="n">
        <v>3756.96</v>
      </c>
      <c r="G236" s="0" t="n">
        <v>6500.88</v>
      </c>
      <c r="H236" s="0" t="n">
        <v>9</v>
      </c>
    </row>
    <row r="237" customFormat="false" ht="15" hidden="false" customHeight="false" outlineLevel="0" collapsed="false">
      <c r="A237" s="0" t="n">
        <v>1018</v>
      </c>
      <c r="B237" s="0" t="s">
        <v>75</v>
      </c>
      <c r="C237" s="0" t="s">
        <v>21</v>
      </c>
      <c r="D237" s="0" t="s">
        <v>32</v>
      </c>
      <c r="E237" s="0" t="s">
        <v>19</v>
      </c>
      <c r="F237" s="0" t="n">
        <v>299.55</v>
      </c>
      <c r="G237" s="0" t="n">
        <v>351.16</v>
      </c>
      <c r="H237" s="0" t="n">
        <v>3</v>
      </c>
    </row>
    <row r="238" customFormat="false" ht="15" hidden="false" customHeight="false" outlineLevel="0" collapsed="false">
      <c r="A238" s="0" t="n">
        <v>1235</v>
      </c>
      <c r="B238" s="0" t="s">
        <v>58</v>
      </c>
      <c r="C238" s="0" t="s">
        <v>17</v>
      </c>
      <c r="D238" s="0" t="s">
        <v>26</v>
      </c>
      <c r="E238" s="0" t="s">
        <v>19</v>
      </c>
      <c r="F238" s="0" t="n">
        <v>189.32</v>
      </c>
      <c r="G238" s="0" t="n">
        <v>531.09</v>
      </c>
      <c r="H238" s="0" t="n">
        <v>8</v>
      </c>
    </row>
    <row r="239" customFormat="false" ht="15" hidden="false" customHeight="false" outlineLevel="0" collapsed="false">
      <c r="A239" s="0" t="n">
        <v>1237</v>
      </c>
      <c r="B239" s="0" t="s">
        <v>210</v>
      </c>
      <c r="C239" s="0" t="s">
        <v>17</v>
      </c>
      <c r="D239" s="0" t="s">
        <v>18</v>
      </c>
      <c r="E239" s="0" t="s">
        <v>19</v>
      </c>
      <c r="F239" s="0" t="n">
        <v>236.47</v>
      </c>
      <c r="G239" s="0" t="n">
        <v>392.91</v>
      </c>
      <c r="H239" s="0" t="n">
        <v>7</v>
      </c>
    </row>
    <row r="240" customFormat="false" ht="15" hidden="false" customHeight="false" outlineLevel="0" collapsed="false">
      <c r="A240" s="0" t="n">
        <v>1151</v>
      </c>
      <c r="B240" s="0" t="s">
        <v>150</v>
      </c>
      <c r="C240" s="0" t="s">
        <v>17</v>
      </c>
      <c r="D240" s="0" t="s">
        <v>26</v>
      </c>
      <c r="E240" s="0" t="s">
        <v>19</v>
      </c>
      <c r="F240" s="0" t="n">
        <v>122.69</v>
      </c>
      <c r="G240" s="0" t="n">
        <v>151.1</v>
      </c>
      <c r="H240" s="0" t="n">
        <v>4</v>
      </c>
    </row>
    <row r="241" customFormat="false" ht="15" hidden="false" customHeight="false" outlineLevel="0" collapsed="false">
      <c r="A241" s="0" t="n">
        <v>1271</v>
      </c>
      <c r="B241" s="0" t="s">
        <v>114</v>
      </c>
      <c r="C241" s="0" t="s">
        <v>21</v>
      </c>
      <c r="D241" s="0" t="s">
        <v>18</v>
      </c>
      <c r="E241" s="0" t="s">
        <v>19</v>
      </c>
      <c r="F241" s="0" t="n">
        <v>78.14</v>
      </c>
      <c r="G241" s="0" t="n">
        <v>170.86</v>
      </c>
      <c r="H241" s="0" t="n">
        <v>7</v>
      </c>
    </row>
    <row r="242" customFormat="false" ht="15" hidden="false" customHeight="false" outlineLevel="0" collapsed="false">
      <c r="A242" s="0" t="n">
        <v>1236</v>
      </c>
      <c r="B242" s="0" t="s">
        <v>211</v>
      </c>
      <c r="C242" s="0" t="s">
        <v>21</v>
      </c>
      <c r="D242" s="0" t="s">
        <v>53</v>
      </c>
      <c r="E242" s="0" t="s">
        <v>30</v>
      </c>
      <c r="F242" s="0" t="n">
        <v>5653.28</v>
      </c>
      <c r="G242" s="0" t="n">
        <v>5903.76</v>
      </c>
      <c r="H242" s="0" t="n">
        <v>11</v>
      </c>
    </row>
    <row r="243" customFormat="false" ht="15" hidden="false" customHeight="false" outlineLevel="0" collapsed="false">
      <c r="A243" s="0" t="n">
        <v>1068</v>
      </c>
      <c r="B243" s="0" t="s">
        <v>212</v>
      </c>
      <c r="C243" s="0" t="s">
        <v>25</v>
      </c>
      <c r="D243" s="0" t="s">
        <v>53</v>
      </c>
      <c r="E243" s="0" t="s">
        <v>30</v>
      </c>
      <c r="F243" s="0" t="n">
        <v>2732.04</v>
      </c>
      <c r="G243" s="0" t="n">
        <v>896.5</v>
      </c>
      <c r="H243" s="0" t="n">
        <v>3</v>
      </c>
    </row>
    <row r="244" customFormat="false" ht="15" hidden="false" customHeight="false" outlineLevel="0" collapsed="false">
      <c r="A244" s="0" t="n">
        <v>1225</v>
      </c>
      <c r="B244" s="0" t="s">
        <v>213</v>
      </c>
      <c r="C244" s="0" t="s">
        <v>37</v>
      </c>
      <c r="D244" s="0" t="s">
        <v>22</v>
      </c>
      <c r="E244" s="0" t="s">
        <v>23</v>
      </c>
      <c r="F244" s="0" t="n">
        <v>3889.36</v>
      </c>
      <c r="G244" s="0" t="n">
        <v>3232.97</v>
      </c>
      <c r="H244" s="0" t="n">
        <v>4</v>
      </c>
    </row>
    <row r="245" customFormat="false" ht="15" hidden="false" customHeight="false" outlineLevel="0" collapsed="false">
      <c r="A245" s="0" t="n">
        <v>1041</v>
      </c>
      <c r="B245" s="0" t="s">
        <v>214</v>
      </c>
      <c r="C245" s="0" t="s">
        <v>21</v>
      </c>
      <c r="D245" s="0" t="s">
        <v>95</v>
      </c>
      <c r="E245" s="0" t="s">
        <v>23</v>
      </c>
      <c r="F245" s="0" t="n">
        <v>3277.99</v>
      </c>
      <c r="G245" s="0" t="n">
        <v>2232.57</v>
      </c>
      <c r="H245" s="0" t="n">
        <v>4</v>
      </c>
    </row>
    <row r="246" customFormat="false" ht="15" hidden="false" customHeight="false" outlineLevel="0" collapsed="false">
      <c r="A246" s="0" t="n">
        <v>1275</v>
      </c>
      <c r="B246" s="0" t="s">
        <v>137</v>
      </c>
      <c r="C246" s="0" t="s">
        <v>21</v>
      </c>
      <c r="D246" s="0" t="s">
        <v>85</v>
      </c>
      <c r="E246" s="0" t="s">
        <v>23</v>
      </c>
      <c r="F246" s="0" t="n">
        <v>2490.86</v>
      </c>
      <c r="G246" s="0" t="n">
        <v>4864.69</v>
      </c>
      <c r="H246" s="0" t="n">
        <v>9</v>
      </c>
    </row>
    <row r="247" customFormat="false" ht="15" hidden="false" customHeight="false" outlineLevel="0" collapsed="false">
      <c r="A247" s="0" t="n">
        <v>1260</v>
      </c>
      <c r="B247" s="0" t="s">
        <v>215</v>
      </c>
      <c r="C247" s="0" t="s">
        <v>21</v>
      </c>
      <c r="D247" s="0" t="s">
        <v>69</v>
      </c>
      <c r="E247" s="0" t="s">
        <v>23</v>
      </c>
      <c r="F247" s="0" t="n">
        <v>3637.75</v>
      </c>
      <c r="G247" s="0" t="n">
        <v>2716</v>
      </c>
      <c r="H247" s="0" t="n">
        <v>4</v>
      </c>
    </row>
    <row r="248" customFormat="false" ht="15" hidden="false" customHeight="false" outlineLevel="0" collapsed="false">
      <c r="A248" s="0" t="n">
        <v>1168</v>
      </c>
      <c r="B248" s="0" t="s">
        <v>216</v>
      </c>
      <c r="C248" s="0" t="s">
        <v>37</v>
      </c>
      <c r="D248" s="0" t="s">
        <v>85</v>
      </c>
      <c r="E248" s="0" t="s">
        <v>23</v>
      </c>
      <c r="F248" s="0" t="n">
        <v>2978.76</v>
      </c>
      <c r="G248" s="0" t="n">
        <v>1459.89</v>
      </c>
      <c r="H248" s="0" t="n">
        <v>4</v>
      </c>
    </row>
    <row r="249" customFormat="false" ht="15" hidden="false" customHeight="false" outlineLevel="0" collapsed="false">
      <c r="A249" s="0" t="n">
        <v>1005</v>
      </c>
      <c r="B249" s="0" t="s">
        <v>93</v>
      </c>
      <c r="C249" s="0" t="s">
        <v>37</v>
      </c>
      <c r="D249" s="0" t="s">
        <v>32</v>
      </c>
      <c r="E249" s="0" t="s">
        <v>19</v>
      </c>
      <c r="F249" s="0" t="n">
        <v>247.44</v>
      </c>
      <c r="G249" s="0" t="n">
        <v>133.02</v>
      </c>
      <c r="H249" s="0" t="n">
        <v>2</v>
      </c>
    </row>
    <row r="250" customFormat="false" ht="15" hidden="false" customHeight="false" outlineLevel="0" collapsed="false">
      <c r="A250" s="0" t="n">
        <v>1132</v>
      </c>
      <c r="B250" s="0" t="s">
        <v>190</v>
      </c>
      <c r="C250" s="0" t="s">
        <v>25</v>
      </c>
      <c r="D250" s="0" t="s">
        <v>45</v>
      </c>
      <c r="E250" s="0" t="s">
        <v>35</v>
      </c>
      <c r="F250" s="0" t="n">
        <v>3658.73</v>
      </c>
      <c r="G250" s="0" t="n">
        <v>1873.67</v>
      </c>
      <c r="H250" s="0" t="n">
        <v>4</v>
      </c>
    </row>
    <row r="251" customFormat="false" ht="15" hidden="false" customHeight="false" outlineLevel="0" collapsed="false">
      <c r="A251" s="0" t="n">
        <v>1284</v>
      </c>
      <c r="B251" s="0" t="s">
        <v>159</v>
      </c>
      <c r="C251" s="0" t="s">
        <v>17</v>
      </c>
      <c r="D251" s="0" t="s">
        <v>34</v>
      </c>
      <c r="E251" s="0" t="s">
        <v>35</v>
      </c>
      <c r="F251" s="0" t="n">
        <v>3176.55</v>
      </c>
      <c r="G251" s="0" t="n">
        <v>1562.63</v>
      </c>
      <c r="H251" s="0" t="n">
        <v>3</v>
      </c>
    </row>
    <row r="252" customFormat="false" ht="15" hidden="false" customHeight="false" outlineLevel="0" collapsed="false">
      <c r="A252" s="0" t="n">
        <v>1281</v>
      </c>
      <c r="B252" s="0" t="s">
        <v>68</v>
      </c>
      <c r="C252" s="0" t="s">
        <v>25</v>
      </c>
      <c r="D252" s="0" t="s">
        <v>42</v>
      </c>
      <c r="E252" s="0" t="s">
        <v>35</v>
      </c>
      <c r="F252" s="0" t="n">
        <v>5277.28</v>
      </c>
      <c r="G252" s="0" t="n">
        <v>5973.22</v>
      </c>
      <c r="H252" s="0" t="n">
        <v>10</v>
      </c>
    </row>
    <row r="253" customFormat="false" ht="15" hidden="false" customHeight="false" outlineLevel="0" collapsed="false">
      <c r="A253" s="0" t="n">
        <v>1277</v>
      </c>
      <c r="B253" s="0" t="s">
        <v>217</v>
      </c>
      <c r="C253" s="0" t="s">
        <v>17</v>
      </c>
      <c r="D253" s="0" t="s">
        <v>26</v>
      </c>
      <c r="E253" s="0" t="s">
        <v>19</v>
      </c>
      <c r="F253" s="0" t="n">
        <v>214.88</v>
      </c>
      <c r="G253" s="0" t="n">
        <v>780.34</v>
      </c>
      <c r="H253" s="0" t="n">
        <v>10</v>
      </c>
    </row>
    <row r="254" customFormat="false" ht="15" hidden="false" customHeight="false" outlineLevel="0" collapsed="false">
      <c r="A254" s="0" t="n">
        <v>1197</v>
      </c>
      <c r="B254" s="0" t="s">
        <v>76</v>
      </c>
      <c r="C254" s="0" t="s">
        <v>25</v>
      </c>
      <c r="D254" s="0" t="s">
        <v>69</v>
      </c>
      <c r="E254" s="0" t="s">
        <v>23</v>
      </c>
      <c r="F254" s="0" t="n">
        <v>3491.3</v>
      </c>
      <c r="G254" s="0" t="n">
        <v>5258.56</v>
      </c>
      <c r="H254" s="0" t="n">
        <v>6</v>
      </c>
    </row>
    <row r="255" customFormat="false" ht="15" hidden="false" customHeight="false" outlineLevel="0" collapsed="false">
      <c r="A255" s="0" t="n">
        <v>1054</v>
      </c>
      <c r="B255" s="0" t="s">
        <v>218</v>
      </c>
      <c r="C255" s="0" t="s">
        <v>25</v>
      </c>
      <c r="D255" s="0" t="s">
        <v>42</v>
      </c>
      <c r="E255" s="0" t="s">
        <v>35</v>
      </c>
      <c r="F255" s="0" t="n">
        <v>4649.61</v>
      </c>
      <c r="G255" s="0" t="n">
        <v>6629.48</v>
      </c>
      <c r="H255" s="0" t="n">
        <v>7</v>
      </c>
    </row>
    <row r="256" customFormat="false" ht="15" hidden="false" customHeight="false" outlineLevel="0" collapsed="false">
      <c r="A256" s="0" t="n">
        <v>1126</v>
      </c>
      <c r="B256" s="0" t="s">
        <v>219</v>
      </c>
      <c r="C256" s="0" t="s">
        <v>17</v>
      </c>
      <c r="D256" s="0" t="s">
        <v>32</v>
      </c>
      <c r="E256" s="0" t="s">
        <v>19</v>
      </c>
      <c r="F256" s="0" t="n">
        <v>595.74</v>
      </c>
      <c r="G256" s="0" t="n">
        <v>911.69</v>
      </c>
      <c r="H256" s="0" t="n">
        <v>4</v>
      </c>
    </row>
    <row r="257" customFormat="false" ht="15" hidden="false" customHeight="false" outlineLevel="0" collapsed="false">
      <c r="A257" s="0" t="n">
        <v>1010</v>
      </c>
      <c r="B257" s="0" t="s">
        <v>189</v>
      </c>
      <c r="C257" s="0" t="s">
        <v>25</v>
      </c>
      <c r="D257" s="0" t="s">
        <v>69</v>
      </c>
      <c r="E257" s="0" t="s">
        <v>23</v>
      </c>
      <c r="F257" s="0" t="n">
        <v>1705.8</v>
      </c>
      <c r="G257" s="0" t="n">
        <v>3970.32</v>
      </c>
      <c r="H257" s="0" t="n">
        <v>12</v>
      </c>
    </row>
    <row r="258" customFormat="false" ht="15" hidden="false" customHeight="false" outlineLevel="0" collapsed="false">
      <c r="A258" s="0" t="n">
        <v>1079</v>
      </c>
      <c r="B258" s="0" t="s">
        <v>220</v>
      </c>
      <c r="C258" s="0" t="s">
        <v>37</v>
      </c>
      <c r="D258" s="0" t="s">
        <v>45</v>
      </c>
      <c r="E258" s="0" t="s">
        <v>35</v>
      </c>
      <c r="F258" s="0" t="n">
        <v>4439.94</v>
      </c>
      <c r="G258" s="0" t="n">
        <v>4493.52</v>
      </c>
      <c r="H258" s="0" t="n">
        <v>5</v>
      </c>
    </row>
    <row r="259" customFormat="false" ht="15" hidden="false" customHeight="false" outlineLevel="0" collapsed="false">
      <c r="A259" s="0" t="n">
        <v>1032</v>
      </c>
      <c r="B259" s="0" t="s">
        <v>221</v>
      </c>
      <c r="C259" s="0" t="s">
        <v>17</v>
      </c>
      <c r="D259" s="0" t="s">
        <v>42</v>
      </c>
      <c r="E259" s="0" t="s">
        <v>35</v>
      </c>
      <c r="F259" s="0" t="n">
        <v>3189.3</v>
      </c>
      <c r="G259" s="0" t="n">
        <v>3268.05</v>
      </c>
      <c r="H259" s="0" t="n">
        <v>5</v>
      </c>
    </row>
    <row r="260" customFormat="false" ht="15" hidden="false" customHeight="false" outlineLevel="0" collapsed="false">
      <c r="A260" s="0" t="n">
        <v>1076</v>
      </c>
      <c r="B260" s="0" t="s">
        <v>158</v>
      </c>
      <c r="C260" s="0" t="s">
        <v>21</v>
      </c>
      <c r="D260" s="0" t="s">
        <v>26</v>
      </c>
      <c r="E260" s="0" t="s">
        <v>19</v>
      </c>
      <c r="F260" s="0" t="n">
        <v>126.11</v>
      </c>
      <c r="G260" s="0" t="n">
        <v>62.11</v>
      </c>
      <c r="H260" s="0" t="n">
        <v>2</v>
      </c>
    </row>
    <row r="261" customFormat="false" ht="15" hidden="false" customHeight="false" outlineLevel="0" collapsed="false">
      <c r="A261" s="0" t="n">
        <v>1262</v>
      </c>
      <c r="B261" s="0" t="s">
        <v>207</v>
      </c>
      <c r="C261" s="0" t="s">
        <v>17</v>
      </c>
      <c r="D261" s="0" t="s">
        <v>45</v>
      </c>
      <c r="E261" s="0" t="s">
        <v>35</v>
      </c>
      <c r="F261" s="0" t="n">
        <v>1457.63</v>
      </c>
      <c r="G261" s="0" t="n">
        <v>2671.88</v>
      </c>
      <c r="H261" s="0" t="n">
        <v>12</v>
      </c>
    </row>
    <row r="262" customFormat="false" ht="15" hidden="false" customHeight="false" outlineLevel="0" collapsed="false">
      <c r="A262" s="0" t="n">
        <v>1159</v>
      </c>
      <c r="B262" s="0" t="s">
        <v>222</v>
      </c>
      <c r="C262" s="0" t="s">
        <v>17</v>
      </c>
      <c r="D262" s="0" t="s">
        <v>47</v>
      </c>
      <c r="E262" s="0" t="s">
        <v>30</v>
      </c>
      <c r="F262" s="0" t="n">
        <v>11519.12</v>
      </c>
      <c r="G262" s="0" t="n">
        <v>20727.03</v>
      </c>
      <c r="H262" s="0" t="n">
        <v>11</v>
      </c>
    </row>
    <row r="263" customFormat="false" ht="15" hidden="false" customHeight="false" outlineLevel="0" collapsed="false">
      <c r="A263" s="0" t="n">
        <v>1055</v>
      </c>
      <c r="B263" s="0" t="s">
        <v>223</v>
      </c>
      <c r="C263" s="0" t="s">
        <v>25</v>
      </c>
      <c r="D263" s="0" t="s">
        <v>53</v>
      </c>
      <c r="E263" s="0" t="s">
        <v>30</v>
      </c>
      <c r="F263" s="0" t="n">
        <v>6134.15</v>
      </c>
      <c r="G263" s="0" t="n">
        <v>1038.47</v>
      </c>
      <c r="H263" s="0" t="n">
        <v>2</v>
      </c>
    </row>
    <row r="264" customFormat="false" ht="15" hidden="false" customHeight="false" outlineLevel="0" collapsed="false">
      <c r="A264" s="0" t="n">
        <v>1251</v>
      </c>
      <c r="B264" s="0" t="s">
        <v>224</v>
      </c>
      <c r="C264" s="0" t="s">
        <v>37</v>
      </c>
      <c r="D264" s="0" t="s">
        <v>51</v>
      </c>
      <c r="E264" s="0" t="s">
        <v>19</v>
      </c>
      <c r="F264" s="0" t="n">
        <v>180.2</v>
      </c>
      <c r="G264" s="0" t="n">
        <v>161.53</v>
      </c>
      <c r="H264" s="0" t="n">
        <v>3</v>
      </c>
    </row>
    <row r="265" customFormat="false" ht="15" hidden="false" customHeight="false" outlineLevel="0" collapsed="false">
      <c r="A265" s="0" t="n">
        <v>1166</v>
      </c>
      <c r="B265" s="0" t="s">
        <v>152</v>
      </c>
      <c r="C265" s="0" t="s">
        <v>25</v>
      </c>
      <c r="D265" s="0" t="s">
        <v>29</v>
      </c>
      <c r="E265" s="0" t="s">
        <v>30</v>
      </c>
      <c r="F265" s="0" t="n">
        <v>9992.12</v>
      </c>
      <c r="G265" s="0" t="n">
        <v>4541.95</v>
      </c>
      <c r="H265" s="0" t="n">
        <v>3</v>
      </c>
    </row>
    <row r="266" customFormat="false" ht="15" hidden="false" customHeight="false" outlineLevel="0" collapsed="false">
      <c r="A266" s="0" t="n">
        <v>1265</v>
      </c>
      <c r="B266" s="0" t="s">
        <v>102</v>
      </c>
      <c r="C266" s="0" t="s">
        <v>37</v>
      </c>
      <c r="D266" s="0" t="s">
        <v>47</v>
      </c>
      <c r="E266" s="0" t="s">
        <v>30</v>
      </c>
      <c r="F266" s="0" t="n">
        <v>4855.23</v>
      </c>
      <c r="G266" s="0" t="n">
        <v>3558.59</v>
      </c>
      <c r="H266" s="0" t="n">
        <v>8</v>
      </c>
    </row>
    <row r="267" customFormat="false" ht="15" hidden="false" customHeight="false" outlineLevel="0" collapsed="false">
      <c r="A267" s="0" t="n">
        <v>1052</v>
      </c>
      <c r="B267" s="0" t="s">
        <v>216</v>
      </c>
      <c r="C267" s="0" t="s">
        <v>37</v>
      </c>
      <c r="D267" s="0" t="s">
        <v>26</v>
      </c>
      <c r="E267" s="0" t="s">
        <v>19</v>
      </c>
      <c r="F267" s="0" t="n">
        <v>425.14</v>
      </c>
      <c r="G267" s="0" t="n">
        <v>566.94</v>
      </c>
      <c r="H267" s="0" t="n">
        <v>4</v>
      </c>
    </row>
    <row r="268" customFormat="false" ht="15" hidden="false" customHeight="false" outlineLevel="0" collapsed="false">
      <c r="A268" s="0" t="n">
        <v>1108</v>
      </c>
      <c r="B268" s="0" t="s">
        <v>197</v>
      </c>
      <c r="C268" s="0" t="s">
        <v>17</v>
      </c>
      <c r="D268" s="0" t="s">
        <v>47</v>
      </c>
      <c r="E268" s="0" t="s">
        <v>30</v>
      </c>
      <c r="F268" s="0" t="n">
        <v>10671.58</v>
      </c>
      <c r="G268" s="0" t="n">
        <v>10607.75</v>
      </c>
      <c r="H268" s="0" t="n">
        <v>5</v>
      </c>
    </row>
    <row r="269" customFormat="false" ht="15" hidden="false" customHeight="false" outlineLevel="0" collapsed="false">
      <c r="A269" s="0" t="n">
        <v>1060</v>
      </c>
      <c r="B269" s="0" t="s">
        <v>113</v>
      </c>
      <c r="C269" s="0" t="s">
        <v>17</v>
      </c>
      <c r="D269" s="0" t="s">
        <v>22</v>
      </c>
      <c r="E269" s="0" t="s">
        <v>23</v>
      </c>
      <c r="F269" s="0" t="n">
        <v>3709.78</v>
      </c>
      <c r="G269" s="0" t="n">
        <v>8450.42</v>
      </c>
      <c r="H269" s="0" t="n">
        <v>12</v>
      </c>
    </row>
    <row r="270" customFormat="false" ht="15" hidden="false" customHeight="false" outlineLevel="0" collapsed="false">
      <c r="A270" s="0" t="n">
        <v>1086</v>
      </c>
      <c r="B270" s="0" t="s">
        <v>225</v>
      </c>
      <c r="C270" s="0" t="s">
        <v>25</v>
      </c>
      <c r="D270" s="0" t="s">
        <v>85</v>
      </c>
      <c r="E270" s="0" t="s">
        <v>23</v>
      </c>
      <c r="F270" s="0" t="n">
        <v>1363.81</v>
      </c>
      <c r="G270" s="0" t="n">
        <v>1912</v>
      </c>
      <c r="H270" s="0" t="n">
        <v>10</v>
      </c>
    </row>
    <row r="271" customFormat="false" ht="15" hidden="false" customHeight="false" outlineLevel="0" collapsed="false">
      <c r="A271" s="0" t="n">
        <v>1287</v>
      </c>
      <c r="B271" s="0" t="s">
        <v>157</v>
      </c>
      <c r="C271" s="0" t="s">
        <v>37</v>
      </c>
      <c r="D271" s="0" t="s">
        <v>26</v>
      </c>
      <c r="E271" s="0" t="s">
        <v>19</v>
      </c>
      <c r="F271" s="0" t="n">
        <v>348.75</v>
      </c>
      <c r="G271" s="0" t="n">
        <v>1454.52</v>
      </c>
      <c r="H271" s="0" t="n">
        <v>11</v>
      </c>
    </row>
    <row r="272" customFormat="false" ht="15" hidden="false" customHeight="false" outlineLevel="0" collapsed="false">
      <c r="A272" s="0" t="n">
        <v>1182</v>
      </c>
      <c r="B272" s="0" t="s">
        <v>226</v>
      </c>
      <c r="C272" s="0" t="s">
        <v>21</v>
      </c>
      <c r="D272" s="0" t="s">
        <v>69</v>
      </c>
      <c r="E272" s="0" t="s">
        <v>23</v>
      </c>
      <c r="F272" s="0" t="n">
        <v>1811.1</v>
      </c>
      <c r="G272" s="0" t="n">
        <v>1314.78</v>
      </c>
      <c r="H272" s="0" t="n">
        <v>3</v>
      </c>
    </row>
    <row r="273" customFormat="false" ht="15" hidden="false" customHeight="false" outlineLevel="0" collapsed="false">
      <c r="A273" s="0" t="n">
        <v>1200</v>
      </c>
      <c r="B273" s="0" t="s">
        <v>210</v>
      </c>
      <c r="C273" s="0" t="s">
        <v>25</v>
      </c>
      <c r="D273" s="0" t="s">
        <v>26</v>
      </c>
      <c r="E273" s="0" t="s">
        <v>19</v>
      </c>
      <c r="F273" s="0" t="n">
        <v>307.91</v>
      </c>
      <c r="G273" s="0" t="n">
        <v>200.93</v>
      </c>
      <c r="H273" s="0" t="n">
        <v>2</v>
      </c>
    </row>
    <row r="274" customFormat="false" ht="15" hidden="false" customHeight="false" outlineLevel="0" collapsed="false">
      <c r="A274" s="0" t="n">
        <v>1238</v>
      </c>
      <c r="B274" s="0" t="s">
        <v>165</v>
      </c>
      <c r="C274" s="0" t="s">
        <v>21</v>
      </c>
      <c r="D274" s="0" t="s">
        <v>45</v>
      </c>
      <c r="E274" s="0" t="s">
        <v>35</v>
      </c>
      <c r="F274" s="0" t="n">
        <v>3025.35</v>
      </c>
      <c r="G274" s="0" t="n">
        <v>5506.36</v>
      </c>
      <c r="H274" s="0" t="n">
        <v>12</v>
      </c>
    </row>
    <row r="275" customFormat="false" ht="15" hidden="false" customHeight="false" outlineLevel="0" collapsed="false">
      <c r="A275" s="0" t="n">
        <v>1232</v>
      </c>
      <c r="B275" s="0" t="s">
        <v>220</v>
      </c>
      <c r="C275" s="0" t="s">
        <v>37</v>
      </c>
      <c r="D275" s="0" t="s">
        <v>51</v>
      </c>
      <c r="E275" s="0" t="s">
        <v>19</v>
      </c>
      <c r="F275" s="0" t="n">
        <v>236.2</v>
      </c>
      <c r="G275" s="0" t="n">
        <v>698.45</v>
      </c>
      <c r="H275" s="0" t="n">
        <v>9</v>
      </c>
    </row>
    <row r="276" customFormat="false" ht="15" hidden="false" customHeight="false" outlineLevel="0" collapsed="false">
      <c r="A276" s="0" t="n">
        <v>1199</v>
      </c>
      <c r="B276" s="0" t="s">
        <v>227</v>
      </c>
      <c r="C276" s="0" t="s">
        <v>17</v>
      </c>
      <c r="D276" s="0" t="s">
        <v>85</v>
      </c>
      <c r="E276" s="0" t="s">
        <v>23</v>
      </c>
      <c r="F276" s="0" t="n">
        <v>3611.55</v>
      </c>
      <c r="G276" s="0" t="n">
        <v>6927.85</v>
      </c>
      <c r="H276" s="0" t="n">
        <v>10</v>
      </c>
    </row>
    <row r="277" customFormat="false" ht="15" hidden="false" customHeight="false" outlineLevel="0" collapsed="false">
      <c r="A277" s="0" t="n">
        <v>1305</v>
      </c>
      <c r="B277" s="0" t="s">
        <v>228</v>
      </c>
      <c r="C277" s="0" t="s">
        <v>17</v>
      </c>
      <c r="D277" s="0" t="s">
        <v>42</v>
      </c>
      <c r="E277" s="0" t="s">
        <v>35</v>
      </c>
      <c r="F277" s="0" t="n">
        <v>2988.14</v>
      </c>
      <c r="G277" s="0" t="n">
        <v>2974.54</v>
      </c>
      <c r="H277" s="0" t="n">
        <v>6</v>
      </c>
    </row>
    <row r="278" customFormat="false" ht="15" hidden="false" customHeight="false" outlineLevel="0" collapsed="false">
      <c r="A278" s="0" t="n">
        <v>1278</v>
      </c>
      <c r="B278" s="0" t="s">
        <v>229</v>
      </c>
      <c r="C278" s="0" t="s">
        <v>37</v>
      </c>
      <c r="D278" s="0" t="s">
        <v>26</v>
      </c>
      <c r="E278" s="0" t="s">
        <v>19</v>
      </c>
      <c r="F278" s="0" t="n">
        <v>219.22</v>
      </c>
      <c r="G278" s="0" t="n">
        <v>832.5</v>
      </c>
      <c r="H278" s="0" t="n">
        <v>10</v>
      </c>
    </row>
    <row r="279" customFormat="false" ht="15" hidden="false" customHeight="false" outlineLevel="0" collapsed="false">
      <c r="A279" s="0" t="n">
        <v>1191</v>
      </c>
      <c r="B279" s="0" t="s">
        <v>93</v>
      </c>
      <c r="C279" s="0" t="s">
        <v>25</v>
      </c>
      <c r="D279" s="0" t="s">
        <v>42</v>
      </c>
      <c r="E279" s="0" t="s">
        <v>35</v>
      </c>
      <c r="F279" s="0" t="n">
        <v>4225.79</v>
      </c>
      <c r="G279" s="0" t="n">
        <v>6086.33</v>
      </c>
    </row>
    <row r="280" customFormat="false" ht="15" hidden="false" customHeight="false" outlineLevel="0" collapsed="false">
      <c r="A280" s="0" t="n">
        <v>1023</v>
      </c>
      <c r="B280" s="0" t="s">
        <v>86</v>
      </c>
      <c r="C280" s="0" t="s">
        <v>25</v>
      </c>
      <c r="D280" s="0" t="s">
        <v>42</v>
      </c>
      <c r="E280" s="0" t="s">
        <v>35</v>
      </c>
      <c r="F280" s="0" t="n">
        <v>3243.71</v>
      </c>
      <c r="G280" s="0" t="n">
        <v>5922.17</v>
      </c>
      <c r="H280" s="0" t="n">
        <v>11</v>
      </c>
    </row>
    <row r="281" customFormat="false" ht="15" hidden="false" customHeight="false" outlineLevel="0" collapsed="false">
      <c r="A281" s="0" t="n">
        <v>1223</v>
      </c>
      <c r="B281" s="0" t="s">
        <v>230</v>
      </c>
      <c r="C281" s="0" t="s">
        <v>37</v>
      </c>
      <c r="D281" s="0" t="s">
        <v>60</v>
      </c>
      <c r="E281" s="0" t="s">
        <v>23</v>
      </c>
      <c r="F281" s="0" t="n">
        <v>2040.57</v>
      </c>
      <c r="G281" s="0" t="n">
        <v>3218.07</v>
      </c>
      <c r="H281" s="0" t="n">
        <v>11</v>
      </c>
    </row>
    <row r="282" customFormat="false" ht="15" hidden="false" customHeight="false" outlineLevel="0" collapsed="false">
      <c r="A282" s="0" t="n">
        <v>1115</v>
      </c>
      <c r="B282" s="0" t="s">
        <v>179</v>
      </c>
      <c r="C282" s="0" t="s">
        <v>37</v>
      </c>
      <c r="D282" s="0" t="s">
        <v>18</v>
      </c>
      <c r="E282" s="0" t="s">
        <v>19</v>
      </c>
      <c r="F282" s="0" t="n">
        <v>217.25</v>
      </c>
      <c r="G282" s="0" t="n">
        <v>731.27</v>
      </c>
      <c r="H282" s="0" t="n">
        <v>12</v>
      </c>
    </row>
    <row r="283" customFormat="false" ht="15" hidden="false" customHeight="false" outlineLevel="0" collapsed="false">
      <c r="A283" s="0" t="n">
        <v>1152</v>
      </c>
      <c r="B283" s="0" t="s">
        <v>213</v>
      </c>
      <c r="C283" s="0" t="s">
        <v>25</v>
      </c>
      <c r="D283" s="0" t="s">
        <v>26</v>
      </c>
      <c r="E283" s="0" t="s">
        <v>19</v>
      </c>
      <c r="F283" s="0" t="n">
        <v>582.06</v>
      </c>
      <c r="G283" s="0" t="n">
        <v>1206.16</v>
      </c>
      <c r="H283" s="0" t="n">
        <v>8</v>
      </c>
    </row>
    <row r="284" customFormat="false" ht="15" hidden="false" customHeight="false" outlineLevel="0" collapsed="false">
      <c r="A284" s="0" t="n">
        <v>1177</v>
      </c>
      <c r="B284" s="0" t="s">
        <v>106</v>
      </c>
      <c r="C284" s="0" t="s">
        <v>37</v>
      </c>
      <c r="D284" s="0" t="s">
        <v>47</v>
      </c>
      <c r="E284" s="0" t="s">
        <v>30</v>
      </c>
      <c r="F284" s="0" t="n">
        <v>3385.69</v>
      </c>
      <c r="G284" s="0" t="n">
        <v>620.18</v>
      </c>
      <c r="H284" s="0" t="n">
        <v>2</v>
      </c>
    </row>
    <row r="285" customFormat="false" ht="15" hidden="false" customHeight="false" outlineLevel="0" collapsed="false">
      <c r="A285" s="0" t="n">
        <v>1188</v>
      </c>
      <c r="B285" s="0" t="s">
        <v>231</v>
      </c>
      <c r="C285" s="0" t="s">
        <v>37</v>
      </c>
      <c r="D285" s="0" t="s">
        <v>18</v>
      </c>
      <c r="E285" s="0" t="s">
        <v>19</v>
      </c>
      <c r="F285" s="0" t="n">
        <v>423.17</v>
      </c>
      <c r="G285" s="0" t="n">
        <v>1384.02</v>
      </c>
      <c r="H285" s="0" t="n">
        <v>11</v>
      </c>
    </row>
    <row r="286" customFormat="false" ht="15" hidden="false" customHeight="false" outlineLevel="0" collapsed="false">
      <c r="A286" s="0" t="n">
        <v>1074</v>
      </c>
      <c r="B286" s="0" t="s">
        <v>151</v>
      </c>
      <c r="C286" s="0" t="s">
        <v>21</v>
      </c>
      <c r="D286" s="0" t="s">
        <v>45</v>
      </c>
      <c r="E286" s="0" t="s">
        <v>35</v>
      </c>
      <c r="F286" s="0" t="n">
        <v>2392.44</v>
      </c>
      <c r="G286" s="0" t="n">
        <v>5087.6</v>
      </c>
      <c r="H286" s="0" t="n">
        <v>11</v>
      </c>
    </row>
    <row r="287" customFormat="false" ht="15" hidden="false" customHeight="false" outlineLevel="0" collapsed="false">
      <c r="A287" s="0" t="n">
        <v>1218</v>
      </c>
      <c r="B287" s="0" t="s">
        <v>149</v>
      </c>
      <c r="C287" s="0" t="s">
        <v>17</v>
      </c>
      <c r="D287" s="0" t="s">
        <v>18</v>
      </c>
      <c r="E287" s="0" t="s">
        <v>19</v>
      </c>
      <c r="F287" s="0" t="n">
        <v>490.69</v>
      </c>
      <c r="G287" s="0" t="n">
        <v>446.88</v>
      </c>
      <c r="H287" s="0" t="n">
        <v>4</v>
      </c>
    </row>
    <row r="288" customFormat="false" ht="15" hidden="false" customHeight="false" outlineLevel="0" collapsed="false">
      <c r="A288" s="0" t="n">
        <v>1241</v>
      </c>
      <c r="B288" s="0" t="s">
        <v>232</v>
      </c>
      <c r="C288" s="0" t="s">
        <v>21</v>
      </c>
      <c r="D288" s="0" t="s">
        <v>18</v>
      </c>
      <c r="E288" s="0" t="s">
        <v>19</v>
      </c>
      <c r="F288" s="0" t="n">
        <v>91.27</v>
      </c>
      <c r="G288" s="0" t="n">
        <v>29.89</v>
      </c>
      <c r="H288" s="0" t="n">
        <v>1</v>
      </c>
    </row>
    <row r="289" customFormat="false" ht="15" hidden="false" customHeight="false" outlineLevel="0" collapsed="false">
      <c r="A289" s="0" t="n">
        <v>1146</v>
      </c>
      <c r="B289" s="0" t="s">
        <v>142</v>
      </c>
      <c r="C289" s="0" t="s">
        <v>37</v>
      </c>
      <c r="D289" s="0" t="s">
        <v>45</v>
      </c>
      <c r="E289" s="0" t="s">
        <v>35</v>
      </c>
      <c r="F289" s="0" t="n">
        <v>3659.27</v>
      </c>
      <c r="G289" s="0" t="n">
        <v>4328.34</v>
      </c>
      <c r="H289" s="0" t="n">
        <v>7</v>
      </c>
    </row>
    <row r="290" customFormat="false" ht="15" hidden="false" customHeight="false" outlineLevel="0" collapsed="false">
      <c r="A290" s="0" t="n">
        <v>1051</v>
      </c>
      <c r="B290" s="0" t="s">
        <v>48</v>
      </c>
      <c r="C290" s="0" t="s">
        <v>21</v>
      </c>
      <c r="D290" s="0" t="s">
        <v>66</v>
      </c>
      <c r="E290" s="0" t="s">
        <v>30</v>
      </c>
      <c r="F290" s="0" t="n">
        <v>3906.89</v>
      </c>
      <c r="G290" s="0" t="n">
        <v>3350.71</v>
      </c>
      <c r="H290" s="0" t="n">
        <v>9</v>
      </c>
    </row>
    <row r="291" customFormat="false" ht="15" hidden="false" customHeight="false" outlineLevel="0" collapsed="false">
      <c r="A291" s="0" t="n">
        <v>1256</v>
      </c>
      <c r="B291" s="0" t="s">
        <v>97</v>
      </c>
      <c r="C291" s="0" t="s">
        <v>25</v>
      </c>
      <c r="D291" s="0" t="s">
        <v>69</v>
      </c>
      <c r="E291" s="0" t="s">
        <v>23</v>
      </c>
      <c r="F291" s="0" t="n">
        <v>1399.28</v>
      </c>
      <c r="G291" s="0" t="n">
        <v>1131.56</v>
      </c>
      <c r="H291" s="0" t="n">
        <v>3</v>
      </c>
    </row>
    <row r="292" customFormat="false" ht="15" hidden="false" customHeight="false" outlineLevel="0" collapsed="false">
      <c r="A292" s="0" t="n">
        <v>1096</v>
      </c>
      <c r="B292" s="0" t="s">
        <v>233</v>
      </c>
      <c r="C292" s="0" t="s">
        <v>21</v>
      </c>
      <c r="D292" s="0" t="s">
        <v>26</v>
      </c>
      <c r="E292" s="0" t="s">
        <v>19</v>
      </c>
      <c r="F292" s="0" t="n">
        <v>534.06</v>
      </c>
      <c r="G292" s="0" t="n">
        <v>1994.13</v>
      </c>
      <c r="H292" s="0" t="n">
        <v>12</v>
      </c>
    </row>
    <row r="293" customFormat="false" ht="15" hidden="false" customHeight="false" outlineLevel="0" collapsed="false">
      <c r="A293" s="0" t="n">
        <v>1099</v>
      </c>
      <c r="B293" s="0" t="s">
        <v>137</v>
      </c>
      <c r="C293" s="0" t="s">
        <v>21</v>
      </c>
      <c r="D293" s="0" t="s">
        <v>53</v>
      </c>
      <c r="E293" s="0" t="s">
        <v>30</v>
      </c>
      <c r="F293" s="0" t="n">
        <v>7543.76</v>
      </c>
      <c r="G293" s="0" t="n">
        <v>8898.2</v>
      </c>
      <c r="H293" s="0" t="n">
        <v>9</v>
      </c>
    </row>
    <row r="294" customFormat="false" ht="15" hidden="false" customHeight="false" outlineLevel="0" collapsed="false">
      <c r="A294" s="0" t="n">
        <v>1208</v>
      </c>
      <c r="B294" s="0" t="s">
        <v>183</v>
      </c>
      <c r="C294" s="0" t="s">
        <v>21</v>
      </c>
      <c r="D294" s="0" t="s">
        <v>51</v>
      </c>
      <c r="E294" s="0" t="s">
        <v>19</v>
      </c>
      <c r="F294" s="0" t="n">
        <v>414.99</v>
      </c>
      <c r="G294" s="0" t="n">
        <v>1590.86</v>
      </c>
      <c r="H294" s="0" t="n">
        <v>10</v>
      </c>
    </row>
    <row r="295" customFormat="false" ht="15" hidden="false" customHeight="false" outlineLevel="0" collapsed="false">
      <c r="A295" s="0" t="n">
        <v>1004</v>
      </c>
      <c r="B295" s="0" t="s">
        <v>190</v>
      </c>
      <c r="C295" s="0" t="s">
        <v>25</v>
      </c>
      <c r="D295" s="0" t="s">
        <v>32</v>
      </c>
      <c r="E295" s="0" t="s">
        <v>19</v>
      </c>
      <c r="F295" s="0" t="n">
        <v>237.14</v>
      </c>
      <c r="G295" s="0" t="n">
        <v>383.61</v>
      </c>
      <c r="H295" s="0" t="n">
        <v>7</v>
      </c>
    </row>
    <row r="296" customFormat="false" ht="15" hidden="false" customHeight="false" outlineLevel="0" collapsed="false">
      <c r="A296" s="0" t="n">
        <v>1317</v>
      </c>
      <c r="B296" s="0" t="s">
        <v>64</v>
      </c>
      <c r="C296" s="0" t="s">
        <v>25</v>
      </c>
      <c r="D296" s="0" t="s">
        <v>42</v>
      </c>
      <c r="E296" s="0" t="s">
        <v>35</v>
      </c>
      <c r="F296" s="0" t="n">
        <v>1867.02</v>
      </c>
      <c r="G296" s="0" t="n">
        <v>1373.58</v>
      </c>
      <c r="H296" s="0" t="n">
        <v>6</v>
      </c>
    </row>
    <row r="297" customFormat="false" ht="15" hidden="false" customHeight="false" outlineLevel="0" collapsed="false">
      <c r="A297" s="0" t="n">
        <v>1289</v>
      </c>
      <c r="B297" s="0" t="s">
        <v>234</v>
      </c>
      <c r="C297" s="0" t="s">
        <v>21</v>
      </c>
      <c r="D297" s="0" t="s">
        <v>18</v>
      </c>
      <c r="E297" s="0" t="s">
        <v>19</v>
      </c>
      <c r="F297" s="0" t="n">
        <v>161.14</v>
      </c>
      <c r="G297" s="0" t="n">
        <v>198.34</v>
      </c>
      <c r="H297" s="0" t="n">
        <v>4</v>
      </c>
    </row>
    <row r="298" customFormat="false" ht="15" hidden="false" customHeight="false" outlineLevel="0" collapsed="false">
      <c r="A298" s="0" t="n">
        <v>1162</v>
      </c>
      <c r="B298" s="0" t="s">
        <v>235</v>
      </c>
      <c r="C298" s="0" t="s">
        <v>37</v>
      </c>
      <c r="D298" s="0" t="s">
        <v>53</v>
      </c>
      <c r="E298" s="0" t="s">
        <v>30</v>
      </c>
      <c r="F298" s="0" t="n">
        <v>7672.43</v>
      </c>
      <c r="G298" s="0" t="n">
        <v>9084.51</v>
      </c>
      <c r="H298" s="0" t="n">
        <v>6</v>
      </c>
    </row>
    <row r="299" customFormat="false" ht="15" hidden="false" customHeight="false" outlineLevel="0" collapsed="false">
      <c r="A299" s="0" t="n">
        <v>1244</v>
      </c>
      <c r="B299" s="0" t="s">
        <v>185</v>
      </c>
      <c r="C299" s="0" t="s">
        <v>25</v>
      </c>
      <c r="D299" s="0" t="s">
        <v>69</v>
      </c>
      <c r="E299" s="0" t="s">
        <v>23</v>
      </c>
      <c r="F299" s="0" t="n">
        <v>4310.65</v>
      </c>
      <c r="G299" s="0" t="n">
        <v>6190.86</v>
      </c>
      <c r="H299" s="0" t="n">
        <v>8</v>
      </c>
    </row>
    <row r="300" customFormat="false" ht="15" hidden="false" customHeight="false" outlineLevel="0" collapsed="false">
      <c r="A300" s="0" t="n">
        <v>1169</v>
      </c>
      <c r="B300" s="0" t="s">
        <v>236</v>
      </c>
      <c r="C300" s="0" t="s">
        <v>25</v>
      </c>
      <c r="D300" s="0" t="s">
        <v>32</v>
      </c>
      <c r="E300" s="0" t="s">
        <v>19</v>
      </c>
      <c r="F300" s="0" t="n">
        <v>112.51</v>
      </c>
      <c r="G300" s="0" t="n">
        <v>215.39</v>
      </c>
      <c r="H300" s="0" t="n">
        <v>9</v>
      </c>
    </row>
    <row r="301" customFormat="false" ht="15" hidden="false" customHeight="false" outlineLevel="0" collapsed="false">
      <c r="A301" s="0" t="n">
        <v>1050</v>
      </c>
      <c r="B301" s="0" t="s">
        <v>237</v>
      </c>
      <c r="C301" s="0" t="s">
        <v>17</v>
      </c>
      <c r="D301" s="0" t="s">
        <v>34</v>
      </c>
      <c r="E301" s="0" t="s">
        <v>35</v>
      </c>
      <c r="F301" s="0" t="n">
        <v>1681.06</v>
      </c>
      <c r="G301" s="0" t="n">
        <v>358.75</v>
      </c>
      <c r="H301" s="0" t="n">
        <v>1</v>
      </c>
    </row>
    <row r="302" customFormat="false" ht="15" hidden="false" customHeight="false" outlineLevel="0" collapsed="false">
      <c r="A302" s="0" t="n">
        <v>1137</v>
      </c>
      <c r="B302" s="0" t="s">
        <v>238</v>
      </c>
      <c r="C302" s="0" t="s">
        <v>17</v>
      </c>
      <c r="D302" s="0" t="s">
        <v>60</v>
      </c>
      <c r="E302" s="0" t="s">
        <v>23</v>
      </c>
      <c r="F302" s="0" t="n">
        <v>3459.25</v>
      </c>
      <c r="G302" s="0" t="n">
        <v>9189.66</v>
      </c>
      <c r="H302" s="0" t="n">
        <v>11</v>
      </c>
    </row>
    <row r="303" customFormat="false" ht="15" hidden="false" customHeight="false" outlineLevel="0" collapsed="false">
      <c r="A303" s="0" t="n">
        <v>1031</v>
      </c>
      <c r="B303" s="0" t="s">
        <v>239</v>
      </c>
      <c r="C303" s="0" t="s">
        <v>17</v>
      </c>
      <c r="D303" s="0" t="s">
        <v>22</v>
      </c>
      <c r="E303" s="0" t="s">
        <v>23</v>
      </c>
      <c r="F303" s="0" t="n">
        <v>1720.03</v>
      </c>
      <c r="G303" s="0" t="n">
        <v>517.5</v>
      </c>
      <c r="H303" s="0" t="n">
        <v>2</v>
      </c>
    </row>
    <row r="304" customFormat="false" ht="15" hidden="false" customHeight="false" outlineLevel="0" collapsed="false">
      <c r="A304" s="0" t="n">
        <v>1133</v>
      </c>
      <c r="B304" s="0" t="s">
        <v>137</v>
      </c>
      <c r="C304" s="0" t="s">
        <v>21</v>
      </c>
      <c r="D304" s="0" t="s">
        <v>42</v>
      </c>
      <c r="E304" s="0" t="s">
        <v>35</v>
      </c>
      <c r="F304" s="0" t="n">
        <v>5127.75</v>
      </c>
      <c r="G304" s="0" t="n">
        <v>8968.3</v>
      </c>
      <c r="H304" s="0" t="n">
        <v>12</v>
      </c>
    </row>
    <row r="305" customFormat="false" ht="15" hidden="false" customHeight="false" outlineLevel="0" collapsed="false">
      <c r="A305" s="0" t="n">
        <v>1195</v>
      </c>
      <c r="B305" s="0" t="s">
        <v>130</v>
      </c>
      <c r="C305" s="0" t="s">
        <v>37</v>
      </c>
      <c r="D305" s="0" t="s">
        <v>95</v>
      </c>
      <c r="E305" s="0" t="s">
        <v>23</v>
      </c>
      <c r="F305" s="0" t="n">
        <v>2978.82</v>
      </c>
      <c r="G305" s="0" t="n">
        <v>4250.29</v>
      </c>
      <c r="H305" s="0" t="n">
        <v>7</v>
      </c>
    </row>
    <row r="306" customFormat="false" ht="15" hidden="false" customHeight="false" outlineLevel="0" collapsed="false">
      <c r="A306" s="0" t="n">
        <v>1057</v>
      </c>
      <c r="B306" s="0" t="s">
        <v>240</v>
      </c>
      <c r="C306" s="0" t="s">
        <v>37</v>
      </c>
      <c r="D306" s="0" t="s">
        <v>29</v>
      </c>
      <c r="E306" s="0" t="s">
        <v>30</v>
      </c>
      <c r="F306" s="0" t="n">
        <v>6285.43</v>
      </c>
      <c r="G306" s="0" t="n">
        <v>2851.88</v>
      </c>
      <c r="H306" s="0" t="n">
        <v>4</v>
      </c>
    </row>
    <row r="307" customFormat="false" ht="15" hidden="false" customHeight="false" outlineLevel="0" collapsed="false">
      <c r="A307" s="0" t="n">
        <v>1202</v>
      </c>
      <c r="B307" s="0" t="s">
        <v>241</v>
      </c>
      <c r="C307" s="0" t="s">
        <v>21</v>
      </c>
      <c r="D307" s="0" t="s">
        <v>60</v>
      </c>
      <c r="E307" s="0" t="s">
        <v>23</v>
      </c>
      <c r="F307" s="0" t="n">
        <v>3997.73</v>
      </c>
      <c r="G307" s="0" t="n">
        <v>11294.85</v>
      </c>
      <c r="H307" s="0" t="n">
        <v>11</v>
      </c>
    </row>
    <row r="308" customFormat="false" ht="15" hidden="false" customHeight="false" outlineLevel="0" collapsed="false">
      <c r="A308" s="0" t="n">
        <v>1150</v>
      </c>
      <c r="B308" s="0" t="s">
        <v>242</v>
      </c>
      <c r="C308" s="0" t="s">
        <v>37</v>
      </c>
      <c r="D308" s="0" t="s">
        <v>18</v>
      </c>
      <c r="E308" s="0" t="s">
        <v>19</v>
      </c>
      <c r="F308" s="0" t="n">
        <v>452.8</v>
      </c>
      <c r="G308" s="0" t="n">
        <v>592.33</v>
      </c>
      <c r="H308" s="0" t="n">
        <v>6</v>
      </c>
    </row>
    <row r="309" customFormat="false" ht="15" hidden="false" customHeight="false" outlineLevel="0" collapsed="false">
      <c r="A309" s="0" t="n">
        <v>1022</v>
      </c>
      <c r="B309" s="0" t="s">
        <v>243</v>
      </c>
      <c r="C309" s="0" t="s">
        <v>37</v>
      </c>
      <c r="D309" s="0" t="s">
        <v>51</v>
      </c>
      <c r="E309" s="0" t="s">
        <v>19</v>
      </c>
      <c r="F309" s="0" t="n">
        <v>570.82</v>
      </c>
      <c r="G309" s="0" t="n">
        <v>1239.43</v>
      </c>
      <c r="H309" s="0" t="n">
        <v>10</v>
      </c>
    </row>
    <row r="310" customFormat="false" ht="15" hidden="false" customHeight="false" outlineLevel="0" collapsed="false">
      <c r="A310" s="0" t="n">
        <v>1184</v>
      </c>
      <c r="B310" s="0" t="s">
        <v>72</v>
      </c>
      <c r="C310" s="0" t="s">
        <v>37</v>
      </c>
      <c r="D310" s="0" t="s">
        <v>66</v>
      </c>
      <c r="E310" s="0" t="s">
        <v>30</v>
      </c>
      <c r="F310" s="0" t="n">
        <v>6073.85</v>
      </c>
      <c r="G310" s="0" t="n">
        <v>3266.21</v>
      </c>
      <c r="H310" s="0" t="n">
        <v>4</v>
      </c>
    </row>
    <row r="311" customFormat="false" ht="15" hidden="false" customHeight="false" outlineLevel="0" collapsed="false">
      <c r="A311" s="0" t="n">
        <v>1001</v>
      </c>
      <c r="B311" s="0" t="s">
        <v>135</v>
      </c>
      <c r="C311" s="0" t="s">
        <v>21</v>
      </c>
      <c r="D311" s="0" t="s">
        <v>22</v>
      </c>
      <c r="E311" s="0" t="s">
        <v>23</v>
      </c>
      <c r="F311" s="0" t="n">
        <v>1316.29</v>
      </c>
      <c r="G311" s="0" t="n">
        <v>718.16</v>
      </c>
      <c r="H311" s="0" t="n">
        <v>4</v>
      </c>
    </row>
    <row r="312" customFormat="false" ht="15" hidden="false" customHeight="false" outlineLevel="0" collapsed="false">
      <c r="A312" s="0" t="n">
        <v>1053</v>
      </c>
      <c r="B312" s="0" t="s">
        <v>142</v>
      </c>
      <c r="C312" s="0" t="s">
        <v>25</v>
      </c>
      <c r="D312" s="0" t="s">
        <v>18</v>
      </c>
      <c r="E312" s="0" t="s">
        <v>19</v>
      </c>
      <c r="F312" s="0" t="n">
        <v>586.91</v>
      </c>
      <c r="G312" s="0" t="n">
        <v>637.66</v>
      </c>
      <c r="H312" s="0" t="n">
        <v>3</v>
      </c>
    </row>
    <row r="313" customFormat="false" ht="15" hidden="false" customHeight="false" outlineLevel="0" collapsed="false">
      <c r="A313" s="0" t="n">
        <v>1127</v>
      </c>
      <c r="B313" s="0" t="s">
        <v>79</v>
      </c>
      <c r="C313" s="0" t="s">
        <v>25</v>
      </c>
      <c r="D313" s="0" t="s">
        <v>42</v>
      </c>
      <c r="E313" s="0" t="s">
        <v>35</v>
      </c>
      <c r="F313" s="0" t="n">
        <v>2455</v>
      </c>
      <c r="G313" s="0" t="n">
        <v>5439.77</v>
      </c>
      <c r="H313" s="0" t="n">
        <v>12</v>
      </c>
    </row>
    <row r="314" customFormat="false" ht="15" hidden="false" customHeight="false" outlineLevel="0" collapsed="false">
      <c r="A314" s="0" t="n">
        <v>1295</v>
      </c>
      <c r="B314" s="0" t="s">
        <v>244</v>
      </c>
      <c r="C314" s="0" t="s">
        <v>25</v>
      </c>
      <c r="D314" s="0" t="s">
        <v>47</v>
      </c>
      <c r="E314" s="0" t="s">
        <v>30</v>
      </c>
      <c r="F314" s="0" t="n">
        <v>9985.63</v>
      </c>
      <c r="G314" s="0" t="n">
        <v>7154.72</v>
      </c>
      <c r="H314" s="0" t="n">
        <v>7</v>
      </c>
    </row>
    <row r="315" customFormat="false" ht="15" hidden="false" customHeight="false" outlineLevel="0" collapsed="false">
      <c r="A315" s="0" t="n">
        <v>1045</v>
      </c>
      <c r="B315" s="0" t="s">
        <v>245</v>
      </c>
      <c r="C315" s="0" t="s">
        <v>21</v>
      </c>
      <c r="D315" s="0" t="s">
        <v>47</v>
      </c>
      <c r="E315" s="0" t="s">
        <v>30</v>
      </c>
      <c r="F315" s="0" t="n">
        <v>7524.94</v>
      </c>
      <c r="G315" s="0" t="n">
        <v>13255.78</v>
      </c>
      <c r="H315" s="0" t="n">
        <v>11</v>
      </c>
    </row>
    <row r="316" customFormat="false" ht="15" hidden="false" customHeight="false" outlineLevel="0" collapsed="false">
      <c r="A316" s="0" t="n">
        <v>1165</v>
      </c>
      <c r="B316" s="0" t="s">
        <v>246</v>
      </c>
      <c r="C316" s="0" t="s">
        <v>25</v>
      </c>
      <c r="D316" s="0" t="s">
        <v>51</v>
      </c>
      <c r="E316" s="0" t="s">
        <v>19</v>
      </c>
      <c r="F316" s="0" t="n">
        <v>87.74</v>
      </c>
      <c r="G316" s="0" t="n">
        <v>123.9</v>
      </c>
      <c r="H316" s="0" t="n">
        <v>4</v>
      </c>
    </row>
    <row r="317" customFormat="false" ht="15" hidden="false" customHeight="false" outlineLevel="0" collapsed="false">
      <c r="A317" s="0" t="n">
        <v>1314</v>
      </c>
      <c r="B317" s="0" t="s">
        <v>89</v>
      </c>
      <c r="C317" s="0" t="s">
        <v>17</v>
      </c>
      <c r="D317" s="0" t="s">
        <v>45</v>
      </c>
      <c r="E317" s="0" t="s">
        <v>35</v>
      </c>
      <c r="F317" s="0" t="n">
        <v>2815.28</v>
      </c>
      <c r="G317" s="0" t="n">
        <v>3585.24</v>
      </c>
      <c r="H317" s="0" t="n">
        <v>7</v>
      </c>
    </row>
    <row r="318" customFormat="false" ht="15" hidden="false" customHeight="false" outlineLevel="0" collapsed="false">
      <c r="A318" s="0" t="n">
        <v>1312</v>
      </c>
      <c r="B318" s="0" t="s">
        <v>247</v>
      </c>
      <c r="C318" s="0" t="s">
        <v>37</v>
      </c>
      <c r="D318" s="0" t="s">
        <v>66</v>
      </c>
      <c r="E318" s="0" t="s">
        <v>30</v>
      </c>
      <c r="F318" s="0" t="n">
        <v>9153.66</v>
      </c>
      <c r="G318" s="0" t="n">
        <v>7960.37</v>
      </c>
      <c r="H318" s="0" t="n">
        <v>6</v>
      </c>
    </row>
    <row r="319" customFormat="false" ht="15" hidden="false" customHeight="false" outlineLevel="0" collapsed="false">
      <c r="A319" s="0" t="n">
        <v>1095</v>
      </c>
      <c r="B319" s="0" t="s">
        <v>248</v>
      </c>
      <c r="C319" s="0" t="s">
        <v>37</v>
      </c>
      <c r="D319" s="0" t="s">
        <v>45</v>
      </c>
      <c r="E319" s="0" t="s">
        <v>35</v>
      </c>
      <c r="F319" s="0" t="n">
        <v>1981.91</v>
      </c>
      <c r="G319" s="0" t="n">
        <v>1491.84</v>
      </c>
      <c r="H319" s="0" t="n">
        <v>6</v>
      </c>
    </row>
    <row r="320" customFormat="false" ht="15" hidden="false" customHeight="false" outlineLevel="0" collapsed="false">
      <c r="A320" s="0" t="n">
        <v>1110</v>
      </c>
      <c r="B320" s="0" t="s">
        <v>111</v>
      </c>
      <c r="C320" s="0" t="s">
        <v>25</v>
      </c>
      <c r="D320" s="0" t="s">
        <v>29</v>
      </c>
      <c r="E320" s="0" t="s">
        <v>30</v>
      </c>
      <c r="F320" s="0" t="n">
        <v>3987.06</v>
      </c>
      <c r="G320" s="0" t="n">
        <v>1028.84</v>
      </c>
      <c r="H320" s="0" t="n">
        <v>2</v>
      </c>
    </row>
    <row r="321" customFormat="false" ht="15" hidden="false" customHeight="false" outlineLevel="0" collapsed="false">
      <c r="A321" s="0" t="n">
        <v>1253</v>
      </c>
      <c r="B321" s="0" t="s">
        <v>134</v>
      </c>
      <c r="C321" s="0" t="s">
        <v>17</v>
      </c>
      <c r="D321" s="0" t="s">
        <v>18</v>
      </c>
      <c r="E321" s="0" t="s">
        <v>19</v>
      </c>
      <c r="F321" s="0" t="n">
        <v>473.04</v>
      </c>
      <c r="G321" s="0" t="n">
        <v>1207.52</v>
      </c>
      <c r="H321" s="0" t="n">
        <v>7</v>
      </c>
    </row>
    <row r="322" customFormat="false" ht="15" hidden="false" customHeight="false" outlineLevel="0" collapsed="false">
      <c r="A322" s="0" t="n">
        <v>1059</v>
      </c>
      <c r="B322" s="0" t="s">
        <v>214</v>
      </c>
      <c r="C322" s="0" t="s">
        <v>37</v>
      </c>
      <c r="D322" s="0" t="s">
        <v>32</v>
      </c>
      <c r="E322" s="0" t="s">
        <v>19</v>
      </c>
      <c r="F322" s="0" t="n">
        <v>369.32</v>
      </c>
      <c r="G322" s="0" t="n">
        <v>439.54</v>
      </c>
      <c r="H322" s="0" t="n">
        <v>3</v>
      </c>
    </row>
    <row r="323" customFormat="false" ht="15" hidden="false" customHeight="false" outlineLevel="0" collapsed="false">
      <c r="A323" s="0" t="n">
        <v>1307</v>
      </c>
      <c r="B323" s="0" t="s">
        <v>249</v>
      </c>
      <c r="C323" s="0" t="s">
        <v>17</v>
      </c>
      <c r="D323" s="0" t="s">
        <v>69</v>
      </c>
      <c r="E323" s="0" t="s">
        <v>23</v>
      </c>
      <c r="F323" s="0" t="n">
        <v>2138.6</v>
      </c>
      <c r="G323" s="0" t="n">
        <v>6845.89</v>
      </c>
      <c r="H323" s="0" t="n">
        <v>12</v>
      </c>
    </row>
    <row r="324" customFormat="false" ht="15" hidden="false" customHeight="false" outlineLevel="0" collapsed="false">
      <c r="A324" s="0" t="n">
        <v>1088</v>
      </c>
      <c r="B324" s="0" t="s">
        <v>118</v>
      </c>
      <c r="C324" s="0" t="s">
        <v>21</v>
      </c>
      <c r="D324" s="0" t="s">
        <v>85</v>
      </c>
      <c r="E324" s="0" t="s">
        <v>23</v>
      </c>
      <c r="F324" s="0" t="n">
        <v>895.01</v>
      </c>
      <c r="G324" s="0" t="n">
        <v>1520.74</v>
      </c>
      <c r="H324" s="0" t="n">
        <v>10</v>
      </c>
    </row>
    <row r="325" customFormat="false" ht="15" hidden="false" customHeight="false" outlineLevel="0" collapsed="false">
      <c r="A325" s="0" t="n">
        <v>1198</v>
      </c>
      <c r="B325" s="0" t="s">
        <v>250</v>
      </c>
      <c r="C325" s="0" t="s">
        <v>37</v>
      </c>
      <c r="D325" s="0" t="s">
        <v>29</v>
      </c>
      <c r="E325" s="0" t="s">
        <v>30</v>
      </c>
      <c r="F325" s="0" t="n">
        <v>4374.08</v>
      </c>
      <c r="G325" s="0" t="n">
        <v>3330.6</v>
      </c>
      <c r="H325" s="0" t="n">
        <v>5</v>
      </c>
    </row>
    <row r="326" customFormat="false" ht="15" hidden="false" customHeight="false" outlineLevel="0" collapsed="false">
      <c r="A326" s="0" t="n">
        <v>1175</v>
      </c>
      <c r="B326" s="0" t="s">
        <v>251</v>
      </c>
      <c r="C326" s="0" t="s">
        <v>17</v>
      </c>
      <c r="D326" s="0" t="s">
        <v>47</v>
      </c>
      <c r="E326" s="0" t="s">
        <v>30</v>
      </c>
      <c r="F326" s="0" t="n">
        <v>5719.85</v>
      </c>
      <c r="G326" s="0" t="n">
        <v>5382.03</v>
      </c>
      <c r="H326" s="0" t="n">
        <v>7</v>
      </c>
    </row>
    <row r="327" customFormat="false" ht="15" hidden="false" customHeight="false" outlineLevel="0" collapsed="false">
      <c r="A327" s="0" t="n">
        <v>1123</v>
      </c>
      <c r="B327" s="0" t="s">
        <v>252</v>
      </c>
      <c r="C327" s="0" t="s">
        <v>25</v>
      </c>
      <c r="D327" s="0" t="s">
        <v>42</v>
      </c>
      <c r="E327" s="0" t="s">
        <v>35</v>
      </c>
      <c r="F327" s="0" t="n">
        <v>3877.33</v>
      </c>
      <c r="G327" s="0" t="n">
        <v>3718.03</v>
      </c>
      <c r="H327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10" min="5" style="0" width="14"/>
  </cols>
  <sheetData>
    <row r="1" customFormat="false" ht="15" hidden="false" customHeight="false" outlineLevel="0" collapsed="false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253</v>
      </c>
      <c r="J1" s="13" t="s">
        <v>254</v>
      </c>
    </row>
    <row r="2" customFormat="false" ht="15" hidden="false" customHeight="false" outlineLevel="0" collapsed="false">
      <c r="A2" s="0" t="n">
        <v>1035</v>
      </c>
      <c r="B2" s="14" t="n">
        <v>45293</v>
      </c>
      <c r="C2" s="15" t="s">
        <v>17</v>
      </c>
      <c r="D2" s="15" t="s">
        <v>85</v>
      </c>
      <c r="E2" s="15" t="s">
        <v>23</v>
      </c>
      <c r="F2" s="16" t="n">
        <v>1781.25</v>
      </c>
      <c r="G2" s="16" t="n">
        <v>3060.47</v>
      </c>
      <c r="H2" s="0" t="n">
        <v>7</v>
      </c>
      <c r="I2" s="16" t="n">
        <f aca="false">F2*H2</f>
        <v>12468.75</v>
      </c>
      <c r="J2" s="17" t="n">
        <f aca="false">IF(I2=0,0,G2/I2)</f>
        <v>0.245451228070175</v>
      </c>
    </row>
    <row r="3" customFormat="false" ht="15" hidden="false" customHeight="false" outlineLevel="0" collapsed="false">
      <c r="A3" s="0" t="n">
        <v>1104</v>
      </c>
      <c r="B3" s="14" t="n">
        <v>45298</v>
      </c>
      <c r="C3" s="15" t="s">
        <v>37</v>
      </c>
      <c r="D3" s="15" t="s">
        <v>47</v>
      </c>
      <c r="E3" s="15" t="s">
        <v>30</v>
      </c>
      <c r="F3" s="16" t="n">
        <v>5201.22</v>
      </c>
      <c r="G3" s="16" t="n">
        <v>7148.85</v>
      </c>
      <c r="H3" s="0" t="n">
        <v>10</v>
      </c>
      <c r="I3" s="16" t="n">
        <f aca="false">F3*H3</f>
        <v>52012.2</v>
      </c>
      <c r="J3" s="17" t="n">
        <f aca="false">IF(I3=0,0,G3/I3)</f>
        <v>0.137445637754219</v>
      </c>
    </row>
    <row r="4" customFormat="false" ht="15" hidden="false" customHeight="false" outlineLevel="0" collapsed="false">
      <c r="A4" s="0" t="n">
        <v>1091</v>
      </c>
      <c r="B4" s="14" t="n">
        <v>45298</v>
      </c>
      <c r="C4" s="15" t="s">
        <v>21</v>
      </c>
      <c r="D4" s="15" t="s">
        <v>32</v>
      </c>
      <c r="E4" s="15" t="s">
        <v>19</v>
      </c>
      <c r="F4" s="16" t="n">
        <v>502.28</v>
      </c>
      <c r="G4" s="16" t="n">
        <v>777.41</v>
      </c>
      <c r="H4" s="0" t="n">
        <v>7</v>
      </c>
      <c r="I4" s="16" t="n">
        <f aca="false">F4*H4</f>
        <v>3515.96</v>
      </c>
      <c r="J4" s="17" t="n">
        <f aca="false">IF(I4=0,0,G4/I4)</f>
        <v>0.221108886335453</v>
      </c>
    </row>
    <row r="5" customFormat="false" ht="15" hidden="false" customHeight="false" outlineLevel="0" collapsed="false">
      <c r="A5" s="0" t="n">
        <v>1211</v>
      </c>
      <c r="B5" s="14" t="n">
        <v>45301</v>
      </c>
      <c r="C5" s="15" t="s">
        <v>21</v>
      </c>
      <c r="D5" s="15" t="s">
        <v>95</v>
      </c>
      <c r="E5" s="15" t="s">
        <v>23</v>
      </c>
      <c r="F5" s="16" t="n">
        <v>1942.8</v>
      </c>
      <c r="G5" s="16" t="n">
        <v>3172.83</v>
      </c>
      <c r="H5" s="0" t="n">
        <v>6</v>
      </c>
      <c r="I5" s="16" t="n">
        <f aca="false">F5*H5</f>
        <v>11656.8</v>
      </c>
      <c r="J5" s="17" t="n">
        <f aca="false">IF(I5=0,0,G5/I5)</f>
        <v>0.272187049619106</v>
      </c>
    </row>
    <row r="6" customFormat="false" ht="15" hidden="false" customHeight="false" outlineLevel="0" collapsed="false">
      <c r="A6" s="0" t="n">
        <v>1086</v>
      </c>
      <c r="B6" s="14" t="n">
        <v>45302</v>
      </c>
      <c r="C6" s="15" t="s">
        <v>25</v>
      </c>
      <c r="D6" s="15" t="s">
        <v>85</v>
      </c>
      <c r="E6" s="15" t="s">
        <v>23</v>
      </c>
      <c r="F6" s="16" t="n">
        <v>1363.81</v>
      </c>
      <c r="G6" s="16" t="n">
        <v>1912</v>
      </c>
      <c r="H6" s="0" t="n">
        <v>10</v>
      </c>
      <c r="I6" s="16" t="n">
        <f aca="false">F6*H6</f>
        <v>13638.1</v>
      </c>
      <c r="J6" s="17" t="n">
        <f aca="false">IF(I6=0,0,G6/I6)</f>
        <v>0.140195481775321</v>
      </c>
    </row>
    <row r="7" customFormat="false" ht="15" hidden="false" customHeight="false" outlineLevel="0" collapsed="false">
      <c r="A7" s="0" t="n">
        <v>1156</v>
      </c>
      <c r="B7" s="14" t="n">
        <v>45304</v>
      </c>
      <c r="C7" s="15" t="s">
        <v>17</v>
      </c>
      <c r="D7" s="15" t="s">
        <v>85</v>
      </c>
      <c r="E7" s="15" t="s">
        <v>23</v>
      </c>
      <c r="F7" s="16" t="n">
        <v>4071.67</v>
      </c>
      <c r="G7" s="16" t="n">
        <v>8543.39</v>
      </c>
      <c r="H7" s="0" t="n">
        <v>10</v>
      </c>
      <c r="I7" s="16" t="n">
        <f aca="false">F7*H7</f>
        <v>40716.7</v>
      </c>
      <c r="J7" s="17" t="n">
        <f aca="false">IF(I7=0,0,G7/I7)</f>
        <v>0.209825206856155</v>
      </c>
    </row>
    <row r="8" customFormat="false" ht="15" hidden="false" customHeight="false" outlineLevel="0" collapsed="false">
      <c r="A8" s="0" t="n">
        <v>1182</v>
      </c>
      <c r="B8" s="14" t="n">
        <v>45306</v>
      </c>
      <c r="C8" s="15" t="s">
        <v>21</v>
      </c>
      <c r="D8" s="15" t="s">
        <v>69</v>
      </c>
      <c r="E8" s="15" t="s">
        <v>23</v>
      </c>
      <c r="F8" s="16" t="n">
        <v>1811.1</v>
      </c>
      <c r="G8" s="16" t="n">
        <v>1314.78</v>
      </c>
      <c r="H8" s="0" t="n">
        <v>3</v>
      </c>
      <c r="I8" s="16" t="n">
        <f aca="false">F8*H8</f>
        <v>5433.3</v>
      </c>
      <c r="J8" s="17" t="n">
        <f aca="false">IF(I8=0,0,G8/I8)</f>
        <v>0.241985533653581</v>
      </c>
    </row>
    <row r="9" customFormat="false" ht="15" hidden="false" customHeight="false" outlineLevel="0" collapsed="false">
      <c r="A9" s="0" t="n">
        <v>1313</v>
      </c>
      <c r="B9" s="14" t="n">
        <v>45308</v>
      </c>
      <c r="C9" s="15" t="s">
        <v>17</v>
      </c>
      <c r="D9" s="15" t="s">
        <v>22</v>
      </c>
      <c r="E9" s="15" t="s">
        <v>23</v>
      </c>
      <c r="F9" s="16" t="n">
        <v>2312.81</v>
      </c>
      <c r="G9" s="16" t="n">
        <v>2810.48</v>
      </c>
      <c r="H9" s="0" t="n">
        <v>5</v>
      </c>
      <c r="I9" s="16" t="n">
        <f aca="false">F9*H9</f>
        <v>11564.05</v>
      </c>
      <c r="J9" s="17" t="n">
        <f aca="false">IF(I9=0,0,G9/I9)</f>
        <v>0.243035960584743</v>
      </c>
    </row>
    <row r="10" customFormat="false" ht="15" hidden="false" customHeight="false" outlineLevel="0" collapsed="false">
      <c r="A10" s="0" t="n">
        <v>1281</v>
      </c>
      <c r="B10" s="14" t="n">
        <v>45308</v>
      </c>
      <c r="C10" s="15" t="s">
        <v>25</v>
      </c>
      <c r="D10" s="15" t="s">
        <v>42</v>
      </c>
      <c r="E10" s="15" t="s">
        <v>35</v>
      </c>
      <c r="F10" s="16" t="n">
        <v>5277.28</v>
      </c>
      <c r="G10" s="16" t="n">
        <v>5973.22</v>
      </c>
      <c r="H10" s="0" t="n">
        <v>10</v>
      </c>
      <c r="I10" s="16" t="n">
        <f aca="false">F10*H10</f>
        <v>52772.8</v>
      </c>
      <c r="J10" s="17" t="n">
        <f aca="false">IF(I10=0,0,G10/I10)</f>
        <v>0.113187475366098</v>
      </c>
    </row>
    <row r="11" customFormat="false" ht="15" hidden="false" customHeight="false" outlineLevel="0" collapsed="false">
      <c r="A11" s="0" t="n">
        <v>1002</v>
      </c>
      <c r="B11" s="14" t="n">
        <v>45308</v>
      </c>
      <c r="C11" s="15" t="s">
        <v>17</v>
      </c>
      <c r="D11" s="15" t="s">
        <v>69</v>
      </c>
      <c r="E11" s="15" t="s">
        <v>23</v>
      </c>
      <c r="F11" s="16" t="n">
        <v>1146.67</v>
      </c>
      <c r="G11" s="16" t="n">
        <v>180.29</v>
      </c>
      <c r="H11" s="0" t="n">
        <v>1</v>
      </c>
      <c r="I11" s="16" t="n">
        <f aca="false">F11*H11</f>
        <v>1146.67</v>
      </c>
      <c r="J11" s="17" t="n">
        <f aca="false">IF(I11=0,0,G11/I11)</f>
        <v>0.15722919410118</v>
      </c>
    </row>
    <row r="12" customFormat="false" ht="15" hidden="false" customHeight="false" outlineLevel="0" collapsed="false">
      <c r="A12" s="0" t="n">
        <v>1295</v>
      </c>
      <c r="B12" s="14" t="n">
        <v>45310</v>
      </c>
      <c r="C12" s="15" t="s">
        <v>25</v>
      </c>
      <c r="D12" s="15" t="s">
        <v>47</v>
      </c>
      <c r="E12" s="15" t="s">
        <v>30</v>
      </c>
      <c r="F12" s="16" t="n">
        <v>9985.63</v>
      </c>
      <c r="G12" s="16" t="n">
        <v>7154.72</v>
      </c>
      <c r="H12" s="0" t="n">
        <v>7</v>
      </c>
      <c r="I12" s="16" t="n">
        <f aca="false">F12*H12</f>
        <v>69899.41</v>
      </c>
      <c r="J12" s="17" t="n">
        <f aca="false">IF(I12=0,0,G12/I12)</f>
        <v>0.10235737325966</v>
      </c>
    </row>
    <row r="13" customFormat="false" ht="15" hidden="false" customHeight="false" outlineLevel="0" collapsed="false">
      <c r="A13" s="0" t="n">
        <v>1205</v>
      </c>
      <c r="B13" s="14" t="n">
        <v>45312</v>
      </c>
      <c r="C13" s="15" t="s">
        <v>25</v>
      </c>
      <c r="D13" s="15" t="s">
        <v>32</v>
      </c>
      <c r="E13" s="15" t="s">
        <v>19</v>
      </c>
      <c r="F13" s="16" t="n">
        <v>439.19</v>
      </c>
      <c r="G13" s="16" t="n">
        <v>699.54</v>
      </c>
      <c r="H13" s="0" t="n">
        <v>4</v>
      </c>
      <c r="I13" s="16" t="n">
        <f aca="false">F13*H13</f>
        <v>1756.76</v>
      </c>
      <c r="J13" s="17" t="n">
        <f aca="false">IF(I13=0,0,G13/I13)</f>
        <v>0.398198957171156</v>
      </c>
    </row>
    <row r="14" customFormat="false" ht="15" hidden="false" customHeight="false" outlineLevel="0" collapsed="false">
      <c r="A14" s="0" t="n">
        <v>1192</v>
      </c>
      <c r="B14" s="14" t="n">
        <v>45313</v>
      </c>
      <c r="C14" s="15" t="s">
        <v>17</v>
      </c>
      <c r="D14" s="15" t="s">
        <v>32</v>
      </c>
      <c r="E14" s="15" t="s">
        <v>19</v>
      </c>
      <c r="F14" s="16" t="n">
        <v>60.31</v>
      </c>
      <c r="G14" s="16" t="n">
        <v>162.21</v>
      </c>
      <c r="H14" s="0" t="n">
        <v>7</v>
      </c>
      <c r="I14" s="16" t="n">
        <f aca="false">F14*H14</f>
        <v>422.17</v>
      </c>
      <c r="J14" s="17" t="n">
        <f aca="false">IF(I14=0,0,G14/I14)</f>
        <v>0.384229102020513</v>
      </c>
    </row>
    <row r="15" customFormat="false" ht="15" hidden="false" customHeight="false" outlineLevel="0" collapsed="false">
      <c r="A15" s="0" t="n">
        <v>1230</v>
      </c>
      <c r="B15" s="14" t="n">
        <v>45314</v>
      </c>
      <c r="C15" s="15" t="s">
        <v>17</v>
      </c>
      <c r="D15" s="15" t="s">
        <v>95</v>
      </c>
      <c r="E15" s="15" t="s">
        <v>23</v>
      </c>
      <c r="F15" s="16" t="n">
        <v>2231.46</v>
      </c>
      <c r="G15" s="16" t="n">
        <v>4411.62</v>
      </c>
      <c r="H15" s="0" t="n">
        <v>11</v>
      </c>
      <c r="I15" s="16" t="n">
        <f aca="false">F15*H15</f>
        <v>24546.06</v>
      </c>
      <c r="J15" s="17" t="n">
        <f aca="false">IF(I15=0,0,G15/I15)</f>
        <v>0.179728233370244</v>
      </c>
    </row>
    <row r="16" customFormat="false" ht="15" hidden="false" customHeight="false" outlineLevel="0" collapsed="false">
      <c r="A16" s="0" t="n">
        <v>1140</v>
      </c>
      <c r="B16" s="14" t="n">
        <v>45315</v>
      </c>
      <c r="C16" s="15" t="s">
        <v>37</v>
      </c>
      <c r="D16" s="15" t="s">
        <v>53</v>
      </c>
      <c r="E16" s="15" t="s">
        <v>30</v>
      </c>
      <c r="F16" s="16" t="n">
        <v>10063.36</v>
      </c>
      <c r="G16" s="16" t="n">
        <v>6956.04</v>
      </c>
      <c r="H16" s="0" t="n">
        <v>6</v>
      </c>
      <c r="I16" s="16" t="n">
        <f aca="false">F16*H16</f>
        <v>60380.16</v>
      </c>
      <c r="J16" s="17" t="n">
        <f aca="false">IF(I16=0,0,G16/I16)</f>
        <v>0.11520406703129</v>
      </c>
    </row>
    <row r="17" customFormat="false" ht="15" hidden="false" customHeight="false" outlineLevel="0" collapsed="false">
      <c r="A17" s="0" t="n">
        <v>1271</v>
      </c>
      <c r="B17" s="14" t="n">
        <v>45315</v>
      </c>
      <c r="C17" s="15" t="s">
        <v>21</v>
      </c>
      <c r="D17" s="15" t="s">
        <v>18</v>
      </c>
      <c r="E17" s="15" t="s">
        <v>19</v>
      </c>
      <c r="F17" s="16" t="n">
        <v>78.14</v>
      </c>
      <c r="G17" s="16" t="n">
        <v>170.86</v>
      </c>
      <c r="H17" s="0" t="n">
        <v>7</v>
      </c>
      <c r="I17" s="16" t="n">
        <f aca="false">F17*H17</f>
        <v>546.98</v>
      </c>
      <c r="J17" s="17" t="n">
        <f aca="false">IF(I17=0,0,G17/I17)</f>
        <v>0.31236973929577</v>
      </c>
    </row>
    <row r="18" customFormat="false" ht="15" hidden="false" customHeight="false" outlineLevel="0" collapsed="false">
      <c r="A18" s="0" t="n">
        <v>1236</v>
      </c>
      <c r="B18" s="14" t="n">
        <v>45316</v>
      </c>
      <c r="C18" s="15" t="s">
        <v>21</v>
      </c>
      <c r="D18" s="15" t="s">
        <v>53</v>
      </c>
      <c r="E18" s="15" t="s">
        <v>30</v>
      </c>
      <c r="F18" s="16" t="n">
        <v>5653.28</v>
      </c>
      <c r="G18" s="16" t="n">
        <v>5903.76</v>
      </c>
      <c r="H18" s="0" t="n">
        <v>11</v>
      </c>
      <c r="I18" s="16" t="n">
        <f aca="false">F18*H18</f>
        <v>62186.08</v>
      </c>
      <c r="J18" s="17" t="n">
        <f aca="false">IF(I18=0,0,G18/I18)</f>
        <v>0.0949370019785779</v>
      </c>
    </row>
    <row r="19" customFormat="false" ht="15" hidden="false" customHeight="false" outlineLevel="0" collapsed="false">
      <c r="A19" s="0" t="n">
        <v>1033</v>
      </c>
      <c r="B19" s="14" t="n">
        <v>45317</v>
      </c>
      <c r="C19" s="15" t="s">
        <v>37</v>
      </c>
      <c r="D19" s="15" t="s">
        <v>95</v>
      </c>
      <c r="E19" s="15" t="s">
        <v>23</v>
      </c>
      <c r="F19" s="16" t="n">
        <v>4497.35</v>
      </c>
      <c r="G19" s="16" t="n">
        <v>12553.94</v>
      </c>
      <c r="H19" s="0" t="n">
        <v>11</v>
      </c>
      <c r="I19" s="16" t="n">
        <f aca="false">F19*H19</f>
        <v>49470.85</v>
      </c>
      <c r="J19" s="17" t="n">
        <f aca="false">IF(I19=0,0,G19/I19)</f>
        <v>0.253764388523747</v>
      </c>
    </row>
    <row r="20" customFormat="false" ht="15" hidden="false" customHeight="false" outlineLevel="0" collapsed="false">
      <c r="A20" s="0" t="n">
        <v>1038</v>
      </c>
      <c r="B20" s="14" t="n">
        <v>45317</v>
      </c>
      <c r="C20" s="15" t="s">
        <v>37</v>
      </c>
      <c r="D20" s="15" t="s">
        <v>60</v>
      </c>
      <c r="E20" s="15" t="s">
        <v>23</v>
      </c>
      <c r="F20" s="16" t="n">
        <v>2564.12</v>
      </c>
      <c r="G20" s="16" t="n">
        <v>6848.81</v>
      </c>
      <c r="H20" s="0" t="n">
        <v>10</v>
      </c>
      <c r="I20" s="16" t="n">
        <f aca="false">F20*H20</f>
        <v>25641.2</v>
      </c>
      <c r="J20" s="17" t="n">
        <f aca="false">IF(I20=0,0,G20/I20)</f>
        <v>0.267101773707939</v>
      </c>
    </row>
    <row r="21" customFormat="false" ht="15" hidden="false" customHeight="false" outlineLevel="0" collapsed="false">
      <c r="A21" s="0" t="n">
        <v>1179</v>
      </c>
      <c r="B21" s="14" t="n">
        <v>45318</v>
      </c>
      <c r="C21" s="15" t="s">
        <v>17</v>
      </c>
      <c r="D21" s="15" t="s">
        <v>45</v>
      </c>
      <c r="E21" s="15" t="s">
        <v>35</v>
      </c>
      <c r="F21" s="16" t="n">
        <v>3781.76</v>
      </c>
      <c r="G21" s="16" t="n">
        <v>2688.78</v>
      </c>
      <c r="H21" s="0" t="n">
        <v>5</v>
      </c>
      <c r="I21" s="16" t="n">
        <f aca="false">F21*H21</f>
        <v>18908.8</v>
      </c>
      <c r="J21" s="17" t="n">
        <f aca="false">IF(I21=0,0,G21/I21)</f>
        <v>0.142197283804366</v>
      </c>
    </row>
    <row r="22" customFormat="false" ht="15" hidden="false" customHeight="false" outlineLevel="0" collapsed="false">
      <c r="A22" s="0" t="n">
        <v>1048</v>
      </c>
      <c r="B22" s="14" t="n">
        <v>45318</v>
      </c>
      <c r="C22" s="15" t="s">
        <v>21</v>
      </c>
      <c r="D22" s="15" t="s">
        <v>18</v>
      </c>
      <c r="E22" s="15" t="s">
        <v>19</v>
      </c>
      <c r="F22" s="16" t="n">
        <v>398.86</v>
      </c>
      <c r="G22" s="16" t="n">
        <v>291.86</v>
      </c>
      <c r="H22" s="0" t="n">
        <v>2</v>
      </c>
      <c r="I22" s="16" t="n">
        <f aca="false">F22*H22</f>
        <v>797.72</v>
      </c>
      <c r="J22" s="17" t="n">
        <f aca="false">IF(I22=0,0,G22/I22)</f>
        <v>0.36586772301058</v>
      </c>
    </row>
    <row r="23" customFormat="false" ht="15" hidden="false" customHeight="false" outlineLevel="0" collapsed="false">
      <c r="A23" s="0" t="n">
        <v>1011</v>
      </c>
      <c r="B23" s="14" t="n">
        <v>45320</v>
      </c>
      <c r="C23" s="15" t="s">
        <v>21</v>
      </c>
      <c r="D23" s="15" t="s">
        <v>51</v>
      </c>
      <c r="E23" s="15" t="s">
        <v>19</v>
      </c>
      <c r="F23" s="16" t="n">
        <v>501.99</v>
      </c>
      <c r="G23" s="16" t="n">
        <v>724.89</v>
      </c>
      <c r="H23" s="0" t="n">
        <v>4</v>
      </c>
      <c r="I23" s="16" t="n">
        <f aca="false">F23*H23</f>
        <v>2007.96</v>
      </c>
      <c r="J23" s="17" t="n">
        <f aca="false">IF(I23=0,0,G23/I23)</f>
        <v>0.361008187414092</v>
      </c>
    </row>
    <row r="24" customFormat="false" ht="15" hidden="false" customHeight="false" outlineLevel="0" collapsed="false">
      <c r="A24" s="0" t="n">
        <v>1171</v>
      </c>
      <c r="B24" s="14" t="n">
        <v>45323</v>
      </c>
      <c r="C24" s="15" t="s">
        <v>37</v>
      </c>
      <c r="D24" s="15" t="s">
        <v>18</v>
      </c>
      <c r="E24" s="15" t="s">
        <v>19</v>
      </c>
      <c r="F24" s="16" t="n">
        <v>516.01</v>
      </c>
      <c r="G24" s="16" t="n">
        <v>1177.55</v>
      </c>
      <c r="H24" s="0" t="n">
        <v>8</v>
      </c>
      <c r="I24" s="16" t="n">
        <f aca="false">F24*H24</f>
        <v>4128.08</v>
      </c>
      <c r="J24" s="17" t="n">
        <f aca="false">IF(I24=0,0,G24/I24)</f>
        <v>0.285253677254317</v>
      </c>
    </row>
    <row r="25" customFormat="false" ht="15" hidden="false" customHeight="false" outlineLevel="0" collapsed="false">
      <c r="A25" s="0" t="n">
        <v>1204</v>
      </c>
      <c r="B25" s="14" t="n">
        <v>45323</v>
      </c>
      <c r="C25" s="15" t="s">
        <v>25</v>
      </c>
      <c r="D25" s="15" t="s">
        <v>34</v>
      </c>
      <c r="E25" s="15" t="s">
        <v>35</v>
      </c>
      <c r="F25" s="16" t="n">
        <v>1645.06</v>
      </c>
      <c r="G25" s="16" t="n">
        <v>2736</v>
      </c>
      <c r="H25" s="0" t="n">
        <v>8</v>
      </c>
      <c r="I25" s="16" t="n">
        <f aca="false">F25*H25</f>
        <v>13160.48</v>
      </c>
      <c r="J25" s="17" t="n">
        <f aca="false">IF(I25=0,0,G25/I25)</f>
        <v>0.207895152760386</v>
      </c>
    </row>
    <row r="26" customFormat="false" ht="15" hidden="false" customHeight="false" outlineLevel="0" collapsed="false">
      <c r="A26" s="0" t="n">
        <v>1027</v>
      </c>
      <c r="B26" s="14" t="n">
        <v>45326</v>
      </c>
      <c r="C26" s="15" t="s">
        <v>25</v>
      </c>
      <c r="D26" s="15" t="s">
        <v>22</v>
      </c>
      <c r="E26" s="15" t="s">
        <v>23</v>
      </c>
      <c r="F26" s="16" t="n">
        <v>3980.65</v>
      </c>
      <c r="G26" s="16" t="n">
        <v>522.81</v>
      </c>
      <c r="H26" s="0" t="n">
        <v>1</v>
      </c>
      <c r="I26" s="16" t="n">
        <f aca="false">F26*H26</f>
        <v>3980.65</v>
      </c>
      <c r="J26" s="17" t="n">
        <f aca="false">IF(I26=0,0,G26/I26)</f>
        <v>0.13133784683406</v>
      </c>
    </row>
    <row r="27" customFormat="false" ht="15" hidden="false" customHeight="false" outlineLevel="0" collapsed="false">
      <c r="A27" s="0" t="n">
        <v>1062</v>
      </c>
      <c r="B27" s="14" t="n">
        <v>45327</v>
      </c>
      <c r="C27" s="15" t="s">
        <v>17</v>
      </c>
      <c r="D27" s="15" t="s">
        <v>53</v>
      </c>
      <c r="E27" s="15" t="s">
        <v>30</v>
      </c>
      <c r="F27" s="16" t="n">
        <v>11247.32</v>
      </c>
      <c r="G27" s="16" t="n">
        <v>19149.29</v>
      </c>
      <c r="H27" s="0" t="n">
        <v>11</v>
      </c>
      <c r="I27" s="16" t="n">
        <f aca="false">F27*H27</f>
        <v>123720.52</v>
      </c>
      <c r="J27" s="17" t="n">
        <f aca="false">IF(I27=0,0,G27/I27)</f>
        <v>0.154778609077944</v>
      </c>
    </row>
    <row r="28" customFormat="false" ht="15" hidden="false" customHeight="false" outlineLevel="0" collapsed="false">
      <c r="A28" s="0" t="n">
        <v>1262</v>
      </c>
      <c r="B28" s="14" t="n">
        <v>45329</v>
      </c>
      <c r="C28" s="15" t="s">
        <v>17</v>
      </c>
      <c r="D28" s="15" t="s">
        <v>45</v>
      </c>
      <c r="E28" s="15" t="s">
        <v>35</v>
      </c>
      <c r="F28" s="16" t="n">
        <v>1457.63</v>
      </c>
      <c r="G28" s="16" t="n">
        <v>2671.88</v>
      </c>
      <c r="H28" s="0" t="n">
        <v>12</v>
      </c>
      <c r="I28" s="16" t="n">
        <f aca="false">F28*H28</f>
        <v>17491.56</v>
      </c>
      <c r="J28" s="17" t="n">
        <f aca="false">IF(I28=0,0,G28/I28)</f>
        <v>0.152752527504694</v>
      </c>
    </row>
    <row r="29" customFormat="false" ht="15" hidden="false" customHeight="false" outlineLevel="0" collapsed="false">
      <c r="A29" s="0" t="n">
        <v>1172</v>
      </c>
      <c r="B29" s="14" t="n">
        <v>45329</v>
      </c>
      <c r="C29" s="15" t="s">
        <v>17</v>
      </c>
      <c r="D29" s="15" t="s">
        <v>95</v>
      </c>
      <c r="E29" s="15" t="s">
        <v>23</v>
      </c>
      <c r="F29" s="16" t="n">
        <v>1991.81</v>
      </c>
      <c r="G29" s="16" t="n">
        <v>572.58</v>
      </c>
      <c r="H29" s="0" t="n">
        <v>2</v>
      </c>
      <c r="I29" s="16" t="n">
        <f aca="false">F29*H29</f>
        <v>3983.62</v>
      </c>
      <c r="J29" s="17" t="n">
        <f aca="false">IF(I29=0,0,G29/I29)</f>
        <v>0.143733589047148</v>
      </c>
    </row>
    <row r="30" customFormat="false" ht="15" hidden="false" customHeight="false" outlineLevel="0" collapsed="false">
      <c r="A30" s="0" t="n">
        <v>1153</v>
      </c>
      <c r="B30" s="14" t="n">
        <v>45330</v>
      </c>
      <c r="C30" s="15" t="s">
        <v>17</v>
      </c>
      <c r="D30" s="15" t="s">
        <v>32</v>
      </c>
      <c r="E30" s="15" t="s">
        <v>19</v>
      </c>
      <c r="F30" s="16" t="n">
        <v>464.78</v>
      </c>
      <c r="G30" s="16" t="n">
        <v>341.78</v>
      </c>
      <c r="H30" s="0" t="n">
        <v>3</v>
      </c>
      <c r="I30" s="16" t="n">
        <f aca="false">F30*H30</f>
        <v>1394.34</v>
      </c>
      <c r="J30" s="17" t="n">
        <f aca="false">IF(I30=0,0,G30/I30)</f>
        <v>0.245119554771433</v>
      </c>
    </row>
    <row r="31" customFormat="false" ht="15" hidden="false" customHeight="false" outlineLevel="0" collapsed="false">
      <c r="A31" s="0" t="n">
        <v>1089</v>
      </c>
      <c r="B31" s="14" t="n">
        <v>45330</v>
      </c>
      <c r="C31" s="15" t="s">
        <v>25</v>
      </c>
      <c r="D31" s="15" t="s">
        <v>45</v>
      </c>
      <c r="E31" s="15" t="s">
        <v>35</v>
      </c>
      <c r="F31" s="16" t="n">
        <v>4169.64</v>
      </c>
      <c r="G31" s="16" t="n">
        <v>7308.09</v>
      </c>
      <c r="H31" s="0" t="n">
        <v>10</v>
      </c>
      <c r="I31" s="16" t="n">
        <f aca="false">F31*H31</f>
        <v>41696.4</v>
      </c>
      <c r="J31" s="17" t="n">
        <f aca="false">IF(I31=0,0,G31/I31)</f>
        <v>0.175269087978818</v>
      </c>
    </row>
    <row r="32" customFormat="false" ht="15" hidden="false" customHeight="false" outlineLevel="0" collapsed="false">
      <c r="A32" s="0" t="n">
        <v>1202</v>
      </c>
      <c r="B32" s="14" t="n">
        <v>45331</v>
      </c>
      <c r="C32" s="15" t="s">
        <v>21</v>
      </c>
      <c r="D32" s="15" t="s">
        <v>60</v>
      </c>
      <c r="E32" s="15" t="s">
        <v>23</v>
      </c>
      <c r="F32" s="16" t="n">
        <v>3997.73</v>
      </c>
      <c r="G32" s="16" t="n">
        <v>11294.85</v>
      </c>
      <c r="H32" s="0" t="n">
        <v>11</v>
      </c>
      <c r="I32" s="16" t="n">
        <f aca="false">F32*H32</f>
        <v>43975.03</v>
      </c>
      <c r="J32" s="17" t="n">
        <f aca="false">IF(I32=0,0,G32/I32)</f>
        <v>0.256846896977671</v>
      </c>
    </row>
    <row r="33" customFormat="false" ht="15" hidden="false" customHeight="false" outlineLevel="0" collapsed="false">
      <c r="A33" s="0" t="n">
        <v>1257</v>
      </c>
      <c r="B33" s="14" t="n">
        <v>45332</v>
      </c>
      <c r="C33" s="15" t="s">
        <v>255</v>
      </c>
      <c r="D33" s="15" t="s">
        <v>53</v>
      </c>
      <c r="E33" s="15" t="s">
        <v>30</v>
      </c>
      <c r="F33" s="16" t="n">
        <v>4364.87</v>
      </c>
      <c r="G33" s="16" t="n">
        <v>4250.56</v>
      </c>
      <c r="H33" s="0" t="n">
        <v>5</v>
      </c>
      <c r="I33" s="16" t="n">
        <f aca="false">F33*H33</f>
        <v>21824.35</v>
      </c>
      <c r="J33" s="17" t="n">
        <f aca="false">IF(I33=0,0,G33/I33)</f>
        <v>0.194762272415902</v>
      </c>
    </row>
    <row r="34" customFormat="false" ht="15" hidden="false" customHeight="false" outlineLevel="0" collapsed="false">
      <c r="A34" s="0" t="n">
        <v>1142</v>
      </c>
      <c r="B34" s="14" t="n">
        <v>45332</v>
      </c>
      <c r="C34" s="15" t="s">
        <v>25</v>
      </c>
      <c r="D34" s="15" t="s">
        <v>29</v>
      </c>
      <c r="E34" s="15" t="s">
        <v>30</v>
      </c>
      <c r="F34" s="16" t="n">
        <v>10772.98</v>
      </c>
      <c r="G34" s="16" t="n">
        <v>16629.74</v>
      </c>
      <c r="H34" s="0" t="n">
        <v>10</v>
      </c>
      <c r="I34" s="16" t="n">
        <f aca="false">F34*H34</f>
        <v>107729.8</v>
      </c>
      <c r="J34" s="17" t="n">
        <f aca="false">IF(I34=0,0,G34/I34)</f>
        <v>0.154365273118487</v>
      </c>
    </row>
    <row r="35" customFormat="false" ht="15" hidden="false" customHeight="false" outlineLevel="0" collapsed="false">
      <c r="A35" s="0" t="n">
        <v>1208</v>
      </c>
      <c r="B35" s="14" t="n">
        <v>45333</v>
      </c>
      <c r="C35" s="15" t="s">
        <v>21</v>
      </c>
      <c r="D35" s="15" t="s">
        <v>51</v>
      </c>
      <c r="E35" s="15" t="s">
        <v>19</v>
      </c>
      <c r="F35" s="16" t="n">
        <v>414.99</v>
      </c>
      <c r="G35" s="16" t="n">
        <v>1590.86</v>
      </c>
      <c r="H35" s="0" t="n">
        <v>10</v>
      </c>
      <c r="I35" s="16" t="n">
        <f aca="false">F35*H35</f>
        <v>4149.9</v>
      </c>
      <c r="J35" s="17" t="n">
        <f aca="false">IF(I35=0,0,G35/I35)</f>
        <v>0.383348996361358</v>
      </c>
    </row>
    <row r="36" customFormat="false" ht="15" hidden="false" customHeight="false" outlineLevel="0" collapsed="false">
      <c r="A36" s="0" t="n">
        <v>1116</v>
      </c>
      <c r="B36" s="14" t="n">
        <v>45333</v>
      </c>
      <c r="C36" s="15" t="s">
        <v>17</v>
      </c>
      <c r="D36" s="15" t="s">
        <v>18</v>
      </c>
      <c r="E36" s="15" t="s">
        <v>19</v>
      </c>
      <c r="F36" s="16" t="n">
        <v>71.92</v>
      </c>
      <c r="G36" s="16" t="n">
        <v>205.98</v>
      </c>
      <c r="H36" s="0" t="n">
        <v>10</v>
      </c>
      <c r="I36" s="16" t="n">
        <f aca="false">F36*H36</f>
        <v>719.2</v>
      </c>
      <c r="J36" s="17" t="n">
        <f aca="false">IF(I36=0,0,G36/I36)</f>
        <v>0.286401557285873</v>
      </c>
    </row>
    <row r="37" customFormat="false" ht="15" hidden="false" customHeight="false" outlineLevel="0" collapsed="false">
      <c r="A37" s="0" t="n">
        <v>1238</v>
      </c>
      <c r="B37" s="14" t="n">
        <v>45334</v>
      </c>
      <c r="C37" s="15" t="s">
        <v>21</v>
      </c>
      <c r="D37" s="15" t="s">
        <v>45</v>
      </c>
      <c r="E37" s="15" t="s">
        <v>35</v>
      </c>
      <c r="F37" s="16" t="n">
        <v>3025.35</v>
      </c>
      <c r="G37" s="16" t="n">
        <v>5506.36</v>
      </c>
      <c r="H37" s="0" t="n">
        <v>12</v>
      </c>
      <c r="I37" s="16" t="n">
        <f aca="false">F37*H37</f>
        <v>36304.2</v>
      </c>
      <c r="J37" s="17" t="n">
        <f aca="false">IF(I37=0,0,G37/I37)</f>
        <v>0.151672809206648</v>
      </c>
    </row>
    <row r="38" customFormat="false" ht="15" hidden="false" customHeight="false" outlineLevel="0" collapsed="false">
      <c r="A38" s="0" t="n">
        <v>1082</v>
      </c>
      <c r="B38" s="14" t="n">
        <v>45334</v>
      </c>
      <c r="C38" s="15" t="s">
        <v>37</v>
      </c>
      <c r="D38" s="15" t="s">
        <v>95</v>
      </c>
      <c r="E38" s="15" t="s">
        <v>23</v>
      </c>
      <c r="F38" s="16" t="n">
        <v>2385.87</v>
      </c>
      <c r="G38" s="16" t="n">
        <v>6789.37</v>
      </c>
      <c r="H38" s="0" t="n">
        <v>11</v>
      </c>
      <c r="I38" s="16" t="n">
        <f aca="false">F38*H38</f>
        <v>26244.57</v>
      </c>
      <c r="J38" s="17" t="n">
        <f aca="false">IF(I38=0,0,G38/I38)</f>
        <v>0.258696179819292</v>
      </c>
    </row>
    <row r="39" customFormat="false" ht="15" hidden="false" customHeight="false" outlineLevel="0" collapsed="false">
      <c r="A39" s="0" t="n">
        <v>1177</v>
      </c>
      <c r="B39" s="14" t="n">
        <v>45338</v>
      </c>
      <c r="C39" s="15" t="s">
        <v>37</v>
      </c>
      <c r="D39" s="15" t="s">
        <v>47</v>
      </c>
      <c r="E39" s="15" t="s">
        <v>30</v>
      </c>
      <c r="F39" s="16" t="n">
        <v>3385.69</v>
      </c>
      <c r="G39" s="16" t="n">
        <v>620.18</v>
      </c>
      <c r="H39" s="0" t="n">
        <v>2</v>
      </c>
      <c r="I39" s="16" t="n">
        <f aca="false">F39*H39</f>
        <v>6771.38</v>
      </c>
      <c r="J39" s="17" t="n">
        <f aca="false">IF(I39=0,0,G39/I39)</f>
        <v>0.0915884206764352</v>
      </c>
    </row>
    <row r="40" customFormat="false" ht="15" hidden="false" customHeight="false" outlineLevel="0" collapsed="false">
      <c r="A40" s="0" t="n">
        <v>1154</v>
      </c>
      <c r="B40" s="14" t="n">
        <v>45338</v>
      </c>
      <c r="C40" s="15" t="s">
        <v>21</v>
      </c>
      <c r="D40" s="15" t="s">
        <v>34</v>
      </c>
      <c r="E40" s="15" t="s">
        <v>35</v>
      </c>
      <c r="F40" s="16" t="n">
        <v>1259.85</v>
      </c>
      <c r="G40" s="16" t="n">
        <v>1449.74</v>
      </c>
      <c r="H40" s="0" t="n">
        <v>7</v>
      </c>
      <c r="I40" s="16" t="n">
        <f aca="false">F40*H40</f>
        <v>8818.95</v>
      </c>
      <c r="J40" s="17" t="n">
        <f aca="false">IF(I40=0,0,G40/I40)</f>
        <v>0.164389184653502</v>
      </c>
    </row>
    <row r="41" customFormat="false" ht="15" hidden="false" customHeight="false" outlineLevel="0" collapsed="false">
      <c r="A41" s="0" t="n">
        <v>1117</v>
      </c>
      <c r="B41" s="14" t="n">
        <v>45338</v>
      </c>
      <c r="C41" s="15" t="s">
        <v>37</v>
      </c>
      <c r="D41" s="15" t="s">
        <v>26</v>
      </c>
      <c r="E41" s="15" t="s">
        <v>19</v>
      </c>
      <c r="F41" s="16" t="n">
        <v>579.05</v>
      </c>
      <c r="G41" s="16" t="n">
        <v>850.49</v>
      </c>
      <c r="H41" s="0" t="n">
        <v>4</v>
      </c>
      <c r="I41" s="16" t="n">
        <f aca="false">F41*H41</f>
        <v>2316.2</v>
      </c>
      <c r="J41" s="17" t="n">
        <f aca="false">IF(I41=0,0,G41/I41)</f>
        <v>0.367191952335722</v>
      </c>
    </row>
    <row r="42" customFormat="false" ht="15" hidden="false" customHeight="false" outlineLevel="0" collapsed="false">
      <c r="A42" s="0" t="n">
        <v>1126</v>
      </c>
      <c r="B42" s="14" t="n">
        <v>45339</v>
      </c>
      <c r="C42" s="15" t="s">
        <v>17</v>
      </c>
      <c r="D42" s="15" t="s">
        <v>32</v>
      </c>
      <c r="E42" s="15" t="s">
        <v>19</v>
      </c>
      <c r="F42" s="16" t="n">
        <v>595.74</v>
      </c>
      <c r="G42" s="16" t="n">
        <v>911.69</v>
      </c>
      <c r="H42" s="0" t="n">
        <v>4</v>
      </c>
      <c r="I42" s="16" t="n">
        <f aca="false">F42*H42</f>
        <v>2382.96</v>
      </c>
      <c r="J42" s="17" t="n">
        <f aca="false">IF(I42=0,0,G42/I42)</f>
        <v>0.382587202470877</v>
      </c>
    </row>
    <row r="43" customFormat="false" ht="15" hidden="false" customHeight="false" outlineLevel="0" collapsed="false">
      <c r="A43" s="0" t="n">
        <v>1139</v>
      </c>
      <c r="B43" s="14" t="n">
        <v>45342</v>
      </c>
      <c r="C43" s="15" t="s">
        <v>17</v>
      </c>
      <c r="D43" s="15" t="s">
        <v>66</v>
      </c>
      <c r="E43" s="15" t="s">
        <v>30</v>
      </c>
      <c r="F43" s="16" t="n">
        <v>9186.96</v>
      </c>
      <c r="G43" s="16" t="n">
        <v>9303.35</v>
      </c>
      <c r="H43" s="0" t="n">
        <v>11</v>
      </c>
      <c r="I43" s="16" t="n">
        <f aca="false">F43*H43</f>
        <v>101056.56</v>
      </c>
      <c r="J43" s="17" t="n">
        <f aca="false">IF(I43=0,0,G43/I43)</f>
        <v>0.0920608221772045</v>
      </c>
    </row>
    <row r="44" customFormat="false" ht="15" hidden="false" customHeight="false" outlineLevel="0" collapsed="false">
      <c r="A44" s="0" t="n">
        <v>1291</v>
      </c>
      <c r="B44" s="14" t="n">
        <v>45343</v>
      </c>
      <c r="C44" s="15" t="s">
        <v>37</v>
      </c>
      <c r="D44" s="15" t="s">
        <v>29</v>
      </c>
      <c r="E44" s="15" t="s">
        <v>30</v>
      </c>
      <c r="F44" s="16" t="n">
        <v>5637.79</v>
      </c>
      <c r="G44" s="16" t="n">
        <v>5394.35</v>
      </c>
      <c r="H44" s="0" t="n">
        <v>7</v>
      </c>
      <c r="I44" s="16" t="n">
        <f aca="false">F44*H44</f>
        <v>39464.53</v>
      </c>
      <c r="J44" s="17" t="n">
        <f aca="false">IF(I44=0,0,G44/I44)</f>
        <v>0.136688565656299</v>
      </c>
    </row>
    <row r="45" customFormat="false" ht="15" hidden="false" customHeight="false" outlineLevel="0" collapsed="false">
      <c r="A45" s="0" t="n">
        <v>1102</v>
      </c>
      <c r="B45" s="14" t="n">
        <v>45343</v>
      </c>
      <c r="C45" s="15" t="s">
        <v>21</v>
      </c>
      <c r="D45" s="15" t="s">
        <v>45</v>
      </c>
      <c r="E45" s="15" t="s">
        <v>35</v>
      </c>
      <c r="F45" s="16" t="n">
        <v>2473.86</v>
      </c>
      <c r="G45" s="16" t="n">
        <v>1418.07</v>
      </c>
      <c r="H45" s="0" t="n">
        <v>4</v>
      </c>
      <c r="I45" s="16" t="n">
        <f aca="false">F45*H45</f>
        <v>9895.44</v>
      </c>
      <c r="J45" s="17" t="n">
        <f aca="false">IF(I45=0,0,G45/I45)</f>
        <v>0.143305401275739</v>
      </c>
    </row>
    <row r="46" customFormat="false" ht="15" hidden="false" customHeight="false" outlineLevel="0" collapsed="false">
      <c r="A46" s="0" t="n">
        <v>1008</v>
      </c>
      <c r="B46" s="14" t="n">
        <v>45343</v>
      </c>
      <c r="C46" s="15" t="s">
        <v>255</v>
      </c>
      <c r="D46" s="15" t="s">
        <v>32</v>
      </c>
      <c r="E46" s="15" t="s">
        <v>19</v>
      </c>
      <c r="F46" s="16" t="n">
        <v>202.89</v>
      </c>
      <c r="G46" s="16" t="n">
        <v>464.61</v>
      </c>
      <c r="H46" s="0" t="n">
        <v>7</v>
      </c>
      <c r="I46" s="16" t="n">
        <f aca="false">F46*H46</f>
        <v>1420.23</v>
      </c>
      <c r="J46" s="17" t="n">
        <f aca="false">IF(I46=0,0,G46/I46)</f>
        <v>0.327137153841279</v>
      </c>
    </row>
    <row r="47" customFormat="false" ht="15" hidden="false" customHeight="false" outlineLevel="0" collapsed="false">
      <c r="A47" s="0" t="n">
        <v>1239</v>
      </c>
      <c r="B47" s="14" t="n">
        <v>45344</v>
      </c>
      <c r="C47" s="15" t="s">
        <v>21</v>
      </c>
      <c r="D47" s="15" t="s">
        <v>53</v>
      </c>
      <c r="E47" s="15" t="s">
        <v>30</v>
      </c>
      <c r="F47" s="16" t="n">
        <v>5615.24</v>
      </c>
      <c r="G47" s="16" t="n">
        <v>1296.86</v>
      </c>
      <c r="H47" s="0" t="n">
        <v>2</v>
      </c>
      <c r="I47" s="16" t="n">
        <f aca="false">F47*H47</f>
        <v>11230.48</v>
      </c>
      <c r="J47" s="17" t="n">
        <f aca="false">IF(I47=0,0,G47/I47)</f>
        <v>0.115476809539753</v>
      </c>
    </row>
    <row r="48" customFormat="false" ht="15" hidden="false" customHeight="false" outlineLevel="0" collapsed="false">
      <c r="A48" s="0" t="n">
        <v>1088</v>
      </c>
      <c r="B48" s="14" t="n">
        <v>45347</v>
      </c>
      <c r="C48" s="15" t="s">
        <v>21</v>
      </c>
      <c r="D48" s="15" t="s">
        <v>85</v>
      </c>
      <c r="E48" s="15" t="s">
        <v>23</v>
      </c>
      <c r="F48" s="16" t="n">
        <v>895.01</v>
      </c>
      <c r="G48" s="16" t="n">
        <v>1520.74</v>
      </c>
      <c r="H48" s="0" t="n">
        <v>10</v>
      </c>
      <c r="I48" s="16" t="n">
        <f aca="false">F48*H48</f>
        <v>8950.1</v>
      </c>
      <c r="J48" s="17" t="n">
        <f aca="false">IF(I48=0,0,G48/I48)</f>
        <v>0.169913185327538</v>
      </c>
    </row>
    <row r="49" customFormat="false" ht="15" hidden="false" customHeight="false" outlineLevel="0" collapsed="false">
      <c r="A49" s="0" t="n">
        <v>1270</v>
      </c>
      <c r="B49" s="14" t="n">
        <v>45347</v>
      </c>
      <c r="C49" s="15" t="s">
        <v>37</v>
      </c>
      <c r="D49" s="15" t="s">
        <v>45</v>
      </c>
      <c r="E49" s="15" t="s">
        <v>35</v>
      </c>
      <c r="F49" s="16" t="n">
        <v>1775.92</v>
      </c>
      <c r="G49" s="16" t="n">
        <v>1637.68</v>
      </c>
      <c r="H49" s="0" t="n">
        <v>7</v>
      </c>
      <c r="I49" s="16" t="n">
        <f aca="false">F49*H49</f>
        <v>12431.44</v>
      </c>
      <c r="J49" s="17" t="n">
        <f aca="false">IF(I49=0,0,G49/I49)</f>
        <v>0.131736950827901</v>
      </c>
    </row>
    <row r="50" customFormat="false" ht="15" hidden="false" customHeight="false" outlineLevel="0" collapsed="false">
      <c r="A50" s="0" t="n">
        <v>1015</v>
      </c>
      <c r="B50" s="14" t="n">
        <v>45348</v>
      </c>
      <c r="C50" s="15" t="s">
        <v>37</v>
      </c>
      <c r="D50" s="15" t="s">
        <v>42</v>
      </c>
      <c r="E50" s="15" t="s">
        <v>35</v>
      </c>
      <c r="F50" s="16" t="n">
        <v>3898.02</v>
      </c>
      <c r="G50" s="16" t="n">
        <v>2280.92</v>
      </c>
      <c r="H50" s="0" t="n">
        <v>3</v>
      </c>
      <c r="I50" s="16" t="n">
        <f aca="false">F50*H50</f>
        <v>11694.06</v>
      </c>
      <c r="J50" s="17" t="n">
        <f aca="false">IF(I50=0,0,G50/I50)</f>
        <v>0.195049452457059</v>
      </c>
    </row>
    <row r="51" customFormat="false" ht="15" hidden="false" customHeight="false" outlineLevel="0" collapsed="false">
      <c r="A51" s="0" t="n">
        <v>1134</v>
      </c>
      <c r="B51" s="14" t="n">
        <v>45356</v>
      </c>
      <c r="C51" s="15" t="s">
        <v>37</v>
      </c>
      <c r="D51" s="15" t="s">
        <v>47</v>
      </c>
      <c r="E51" s="15" t="s">
        <v>30</v>
      </c>
      <c r="F51" s="16" t="n">
        <v>11670.86</v>
      </c>
      <c r="G51" s="16" t="n">
        <v>12587.66</v>
      </c>
      <c r="H51" s="0" t="n">
        <v>9</v>
      </c>
      <c r="I51" s="16" t="n">
        <f aca="false">F51*H51</f>
        <v>105037.74</v>
      </c>
      <c r="J51" s="17" t="n">
        <f aca="false">IF(I51=0,0,G51/I51)</f>
        <v>0.11983940248524</v>
      </c>
    </row>
    <row r="52" customFormat="false" ht="15" hidden="false" customHeight="false" outlineLevel="0" collapsed="false">
      <c r="A52" s="0" t="n">
        <v>1023</v>
      </c>
      <c r="B52" s="14" t="n">
        <v>45357</v>
      </c>
      <c r="C52" s="15" t="s">
        <v>25</v>
      </c>
      <c r="D52" s="15" t="s">
        <v>42</v>
      </c>
      <c r="E52" s="15" t="s">
        <v>35</v>
      </c>
      <c r="F52" s="16" t="n">
        <v>3243.71</v>
      </c>
      <c r="G52" s="16" t="n">
        <v>5922.17</v>
      </c>
      <c r="H52" s="0" t="n">
        <v>11</v>
      </c>
      <c r="I52" s="16" t="n">
        <f aca="false">F52*H52</f>
        <v>35680.81</v>
      </c>
      <c r="J52" s="17" t="n">
        <f aca="false">IF(I52=0,0,G52/I52)</f>
        <v>0.165976332936388</v>
      </c>
    </row>
    <row r="53" customFormat="false" ht="15" hidden="false" customHeight="false" outlineLevel="0" collapsed="false">
      <c r="A53" s="0" t="n">
        <v>1210</v>
      </c>
      <c r="B53" s="14" t="n">
        <v>45357</v>
      </c>
      <c r="C53" s="15" t="s">
        <v>21</v>
      </c>
      <c r="D53" s="15" t="s">
        <v>34</v>
      </c>
      <c r="E53" s="15" t="s">
        <v>35</v>
      </c>
      <c r="F53" s="16" t="n">
        <v>4222.17</v>
      </c>
      <c r="G53" s="16" t="n">
        <v>9922.87</v>
      </c>
      <c r="H53" s="0" t="n">
        <v>11</v>
      </c>
      <c r="I53" s="16" t="n">
        <f aca="false">F53*H53</f>
        <v>46443.87</v>
      </c>
      <c r="J53" s="17" t="n">
        <f aca="false">IF(I53=0,0,G53/I53)</f>
        <v>0.213652953554473</v>
      </c>
    </row>
    <row r="54" customFormat="false" ht="15" hidden="false" customHeight="false" outlineLevel="0" collapsed="false">
      <c r="A54" s="0" t="n">
        <v>1255</v>
      </c>
      <c r="B54" s="14" t="n">
        <v>45358</v>
      </c>
      <c r="C54" s="15" t="s">
        <v>25</v>
      </c>
      <c r="D54" s="15" t="s">
        <v>51</v>
      </c>
      <c r="E54" s="15" t="s">
        <v>19</v>
      </c>
      <c r="F54" s="16" t="n">
        <v>326.58</v>
      </c>
      <c r="G54" s="16" t="n">
        <v>854.17</v>
      </c>
      <c r="H54" s="0" t="n">
        <v>7</v>
      </c>
      <c r="I54" s="16" t="n">
        <f aca="false">F54*H54</f>
        <v>2286.06</v>
      </c>
      <c r="J54" s="17" t="n">
        <f aca="false">IF(I54=0,0,G54/I54)</f>
        <v>0.373642861517196</v>
      </c>
    </row>
    <row r="55" customFormat="false" ht="15" hidden="false" customHeight="false" outlineLevel="0" collapsed="false">
      <c r="A55" s="0" t="n">
        <v>1049</v>
      </c>
      <c r="B55" s="14" t="n">
        <v>45358</v>
      </c>
      <c r="C55" s="15" t="s">
        <v>21</v>
      </c>
      <c r="D55" s="15" t="s">
        <v>22</v>
      </c>
      <c r="E55" s="15" t="s">
        <v>23</v>
      </c>
      <c r="F55" s="16" t="n">
        <v>4425.25</v>
      </c>
      <c r="G55" s="16" t="n">
        <v>7099.8</v>
      </c>
      <c r="H55" s="0" t="n">
        <v>11</v>
      </c>
      <c r="I55" s="16" t="n">
        <f aca="false">F55*H55</f>
        <v>48677.75</v>
      </c>
      <c r="J55" s="17" t="n">
        <f aca="false">IF(I55=0,0,G55/I55)</f>
        <v>0.145853084828284</v>
      </c>
    </row>
    <row r="56" customFormat="false" ht="15" hidden="false" customHeight="false" outlineLevel="0" collapsed="false">
      <c r="A56" s="0" t="n">
        <v>1264</v>
      </c>
      <c r="B56" s="14" t="n">
        <v>45358</v>
      </c>
      <c r="C56" s="15" t="s">
        <v>17</v>
      </c>
      <c r="D56" s="15" t="s">
        <v>26</v>
      </c>
      <c r="E56" s="15" t="s">
        <v>19</v>
      </c>
      <c r="F56" s="16" t="n">
        <v>333.24</v>
      </c>
      <c r="G56" s="16" t="n">
        <v>442.35</v>
      </c>
      <c r="H56" s="0" t="n">
        <v>6</v>
      </c>
      <c r="I56" s="16" t="n">
        <f aca="false">F56*H56</f>
        <v>1999.44</v>
      </c>
      <c r="J56" s="17" t="n">
        <f aca="false">IF(I56=0,0,G56/I56)</f>
        <v>0.221236946344977</v>
      </c>
    </row>
    <row r="57" customFormat="false" ht="15" hidden="false" customHeight="false" outlineLevel="0" collapsed="false">
      <c r="A57" s="0" t="n">
        <v>1072</v>
      </c>
      <c r="B57" s="14" t="n">
        <v>45360</v>
      </c>
      <c r="C57" s="15" t="s">
        <v>17</v>
      </c>
      <c r="D57" s="15" t="s">
        <v>66</v>
      </c>
      <c r="E57" s="15" t="s">
        <v>30</v>
      </c>
      <c r="F57" s="16" t="n">
        <v>8841.99</v>
      </c>
      <c r="G57" s="16" t="n">
        <v>14044.41</v>
      </c>
      <c r="H57" s="0" t="n">
        <v>8</v>
      </c>
      <c r="I57" s="16" t="n">
        <f aca="false">F57*H57</f>
        <v>70735.92</v>
      </c>
      <c r="J57" s="17" t="n">
        <f aca="false">IF(I57=0,0,G57/I57)</f>
        <v>0.198547074810082</v>
      </c>
    </row>
    <row r="58" customFormat="false" ht="15" hidden="false" customHeight="false" outlineLevel="0" collapsed="false">
      <c r="A58" s="0" t="n">
        <v>1248</v>
      </c>
      <c r="B58" s="14" t="n">
        <v>45361</v>
      </c>
      <c r="C58" s="15" t="s">
        <v>37</v>
      </c>
      <c r="D58" s="15" t="s">
        <v>42</v>
      </c>
      <c r="E58" s="15" t="s">
        <v>35</v>
      </c>
      <c r="F58" s="16" t="n">
        <v>3143.78</v>
      </c>
      <c r="G58" s="16" t="n">
        <v>1306.82</v>
      </c>
      <c r="H58" s="0" t="n">
        <v>2</v>
      </c>
      <c r="I58" s="16" t="n">
        <f aca="false">F58*H58</f>
        <v>6287.56</v>
      </c>
      <c r="J58" s="17" t="n">
        <f aca="false">IF(I58=0,0,G58/I58)</f>
        <v>0.207842151804516</v>
      </c>
    </row>
    <row r="59" customFormat="false" ht="15" hidden="false" customHeight="false" outlineLevel="0" collapsed="false">
      <c r="A59" s="0" t="n">
        <v>1242</v>
      </c>
      <c r="B59" s="14" t="n">
        <v>45365</v>
      </c>
      <c r="C59" s="15" t="s">
        <v>37</v>
      </c>
      <c r="D59" s="15" t="s">
        <v>51</v>
      </c>
      <c r="E59" s="15" t="s">
        <v>19</v>
      </c>
      <c r="F59" s="16" t="n">
        <v>422.95</v>
      </c>
      <c r="G59" s="16" t="n">
        <v>1216.55</v>
      </c>
      <c r="H59" s="0" t="n">
        <v>10</v>
      </c>
      <c r="I59" s="16" t="n">
        <f aca="false">F59*H59</f>
        <v>4229.5</v>
      </c>
      <c r="J59" s="17" t="n">
        <f aca="false">IF(I59=0,0,G59/I59)</f>
        <v>0.28763447215983</v>
      </c>
    </row>
    <row r="60" customFormat="false" ht="15" hidden="false" customHeight="false" outlineLevel="0" collapsed="false">
      <c r="A60" s="0" t="n">
        <v>1013</v>
      </c>
      <c r="B60" s="14" t="n">
        <v>45365</v>
      </c>
      <c r="C60" s="15" t="s">
        <v>17</v>
      </c>
      <c r="D60" s="15" t="s">
        <v>45</v>
      </c>
      <c r="E60" s="15" t="s">
        <v>35</v>
      </c>
      <c r="F60" s="16" t="n">
        <v>1800.41</v>
      </c>
      <c r="G60" s="16" t="n">
        <v>1704.98</v>
      </c>
      <c r="H60" s="0" t="n">
        <v>5</v>
      </c>
      <c r="I60" s="16" t="n">
        <f aca="false">F60*H60</f>
        <v>9002.05</v>
      </c>
      <c r="J60" s="17" t="n">
        <f aca="false">IF(I60=0,0,G60/I60)</f>
        <v>0.189399081320366</v>
      </c>
    </row>
    <row r="61" customFormat="false" ht="15" hidden="false" customHeight="false" outlineLevel="0" collapsed="false">
      <c r="A61" s="0" t="n">
        <v>1198</v>
      </c>
      <c r="B61" s="14" t="n">
        <v>45366</v>
      </c>
      <c r="C61" s="15" t="s">
        <v>37</v>
      </c>
      <c r="D61" s="15" t="s">
        <v>29</v>
      </c>
      <c r="E61" s="15" t="s">
        <v>30</v>
      </c>
      <c r="F61" s="16" t="n">
        <v>4374.08</v>
      </c>
      <c r="G61" s="16" t="n">
        <v>3330.6</v>
      </c>
      <c r="H61" s="0" t="n">
        <v>5</v>
      </c>
      <c r="I61" s="16" t="n">
        <f aca="false">F61*H61</f>
        <v>21870.4</v>
      </c>
      <c r="J61" s="17" t="n">
        <f aca="false">IF(I61=0,0,G61/I61)</f>
        <v>0.152288023995903</v>
      </c>
    </row>
    <row r="62" customFormat="false" ht="15" hidden="false" customHeight="false" outlineLevel="0" collapsed="false">
      <c r="A62" s="0" t="n">
        <v>1106</v>
      </c>
      <c r="B62" s="14" t="n">
        <v>45369</v>
      </c>
      <c r="C62" s="15" t="s">
        <v>37</v>
      </c>
      <c r="D62" s="15" t="s">
        <v>42</v>
      </c>
      <c r="E62" s="15" t="s">
        <v>35</v>
      </c>
      <c r="F62" s="16" t="n">
        <v>4687.91</v>
      </c>
      <c r="G62" s="16" t="n">
        <v>3008.16</v>
      </c>
      <c r="H62" s="0" t="n">
        <v>3</v>
      </c>
      <c r="I62" s="16" t="n">
        <f aca="false">F62*H62</f>
        <v>14063.73</v>
      </c>
      <c r="J62" s="17" t="n">
        <f aca="false">IF(I62=0,0,G62/I62)</f>
        <v>0.213894891326839</v>
      </c>
    </row>
    <row r="63" customFormat="false" ht="15" hidden="false" customHeight="false" outlineLevel="0" collapsed="false">
      <c r="A63" s="0" t="n">
        <v>1220</v>
      </c>
      <c r="B63" s="14" t="n">
        <v>45374</v>
      </c>
      <c r="C63" s="15" t="s">
        <v>37</v>
      </c>
      <c r="D63" s="15" t="s">
        <v>60</v>
      </c>
      <c r="E63" s="15" t="s">
        <v>23</v>
      </c>
      <c r="F63" s="16" t="n">
        <v>2462.48</v>
      </c>
      <c r="G63" s="16" t="n">
        <v>2488.78</v>
      </c>
      <c r="H63" s="0" t="n">
        <v>5</v>
      </c>
      <c r="I63" s="16" t="n">
        <f aca="false">F63*H63</f>
        <v>12312.4</v>
      </c>
      <c r="J63" s="17" t="n">
        <f aca="false">IF(I63=0,0,G63/I63)</f>
        <v>0.202136057957831</v>
      </c>
    </row>
    <row r="64" customFormat="false" ht="15" hidden="false" customHeight="false" outlineLevel="0" collapsed="false">
      <c r="A64" s="0" t="n">
        <v>1020</v>
      </c>
      <c r="B64" s="14" t="n">
        <v>45374</v>
      </c>
      <c r="C64" s="15" t="s">
        <v>21</v>
      </c>
      <c r="D64" s="15" t="s">
        <v>29</v>
      </c>
      <c r="E64" s="15" t="s">
        <v>30</v>
      </c>
      <c r="F64" s="16" t="n">
        <v>11558.25</v>
      </c>
      <c r="G64" s="16" t="n">
        <v>19836.6</v>
      </c>
      <c r="H64" s="0" t="n">
        <v>9</v>
      </c>
      <c r="I64" s="16" t="n">
        <f aca="false">F64*H64</f>
        <v>104024.25</v>
      </c>
      <c r="J64" s="17" t="n">
        <f aca="false">IF(I64=0,0,G64/I64)</f>
        <v>0.190692074203851</v>
      </c>
    </row>
    <row r="65" customFormat="false" ht="15" hidden="false" customHeight="false" outlineLevel="0" collapsed="false">
      <c r="A65" s="0" t="n">
        <v>1218</v>
      </c>
      <c r="B65" s="14" t="n">
        <v>45374</v>
      </c>
      <c r="C65" s="15" t="s">
        <v>17</v>
      </c>
      <c r="D65" s="15" t="s">
        <v>18</v>
      </c>
      <c r="E65" s="15" t="s">
        <v>19</v>
      </c>
      <c r="F65" s="16" t="n">
        <v>490.69</v>
      </c>
      <c r="G65" s="16" t="n">
        <v>446.88</v>
      </c>
      <c r="H65" s="0" t="n">
        <v>4</v>
      </c>
      <c r="I65" s="16" t="n">
        <f aca="false">F65*H65</f>
        <v>1962.76</v>
      </c>
      <c r="J65" s="17" t="n">
        <f aca="false">IF(I65=0,0,G65/I65)</f>
        <v>0.227679390246388</v>
      </c>
    </row>
    <row r="66" customFormat="false" ht="15" hidden="false" customHeight="false" outlineLevel="0" collapsed="false">
      <c r="A66" s="0" t="n">
        <v>1276</v>
      </c>
      <c r="B66" s="14" t="n">
        <v>45375</v>
      </c>
      <c r="C66" s="15" t="s">
        <v>21</v>
      </c>
      <c r="D66" s="15" t="s">
        <v>53</v>
      </c>
      <c r="E66" s="15" t="s">
        <v>30</v>
      </c>
      <c r="F66" s="16" t="n">
        <v>11910.85</v>
      </c>
      <c r="G66" s="16" t="n">
        <v>14067.05</v>
      </c>
      <c r="H66" s="0" t="n">
        <v>7</v>
      </c>
      <c r="I66" s="16" t="n">
        <f aca="false">F66*H66</f>
        <v>83375.95</v>
      </c>
      <c r="J66" s="17" t="n">
        <f aca="false">IF(I66=0,0,G66/I66)</f>
        <v>0.168718317452455</v>
      </c>
    </row>
    <row r="67" customFormat="false" ht="15" hidden="false" customHeight="false" outlineLevel="0" collapsed="false">
      <c r="A67" s="0" t="n">
        <v>1081</v>
      </c>
      <c r="B67" s="14" t="n">
        <v>45376</v>
      </c>
      <c r="C67" s="15" t="s">
        <v>17</v>
      </c>
      <c r="D67" s="15" t="s">
        <v>45</v>
      </c>
      <c r="E67" s="15" t="s">
        <v>35</v>
      </c>
      <c r="F67" s="16" t="n">
        <v>5154.03</v>
      </c>
      <c r="G67" s="16" t="n">
        <v>8975.71</v>
      </c>
      <c r="H67" s="0" t="n">
        <v>8</v>
      </c>
      <c r="I67" s="16" t="n">
        <f aca="false">F67*H67</f>
        <v>41232.24</v>
      </c>
      <c r="J67" s="17" t="n">
        <f aca="false">IF(I67=0,0,G67/I67)</f>
        <v>0.217686693713463</v>
      </c>
    </row>
    <row r="68" customFormat="false" ht="15" hidden="false" customHeight="false" outlineLevel="0" collapsed="false">
      <c r="A68" s="0" t="n">
        <v>1114</v>
      </c>
      <c r="B68" s="14" t="n">
        <v>45376</v>
      </c>
      <c r="C68" s="15" t="s">
        <v>37</v>
      </c>
      <c r="D68" s="15" t="s">
        <v>66</v>
      </c>
      <c r="E68" s="15" t="s">
        <v>30</v>
      </c>
      <c r="F68" s="16" t="n">
        <v>8152.92</v>
      </c>
      <c r="G68" s="16" t="n">
        <v>7293.15</v>
      </c>
      <c r="H68" s="0" t="n">
        <v>5</v>
      </c>
      <c r="I68" s="16" t="n">
        <f aca="false">F68*H68</f>
        <v>40764.6</v>
      </c>
      <c r="J68" s="17" t="n">
        <f aca="false">IF(I68=0,0,G68/I68)</f>
        <v>0.178908906256899</v>
      </c>
    </row>
    <row r="69" customFormat="false" ht="15" hidden="false" customHeight="false" outlineLevel="0" collapsed="false">
      <c r="A69" s="0" t="n">
        <v>1240</v>
      </c>
      <c r="B69" s="14" t="n">
        <v>45377</v>
      </c>
      <c r="C69" s="15" t="s">
        <v>17</v>
      </c>
      <c r="D69" s="15" t="s">
        <v>34</v>
      </c>
      <c r="E69" s="15" t="s">
        <v>35</v>
      </c>
      <c r="F69" s="16" t="n">
        <v>3108.81</v>
      </c>
      <c r="G69" s="16" t="n">
        <v>5732.23</v>
      </c>
      <c r="H69" s="0" t="n">
        <v>12</v>
      </c>
      <c r="I69" s="16" t="n">
        <f aca="false">F69*H69</f>
        <v>37305.72</v>
      </c>
      <c r="J69" s="17" t="n">
        <f aca="false">IF(I69=0,0,G69/I69)</f>
        <v>0.153655525211683</v>
      </c>
    </row>
    <row r="70" customFormat="false" ht="15" hidden="false" customHeight="false" outlineLevel="0" collapsed="false">
      <c r="A70" s="0" t="n">
        <v>1280</v>
      </c>
      <c r="B70" s="14" t="n">
        <v>45379</v>
      </c>
      <c r="C70" s="15" t="s">
        <v>17</v>
      </c>
      <c r="D70" s="15" t="s">
        <v>66</v>
      </c>
      <c r="E70" s="15" t="s">
        <v>30</v>
      </c>
      <c r="F70" s="16" t="n">
        <v>8475.74</v>
      </c>
      <c r="G70" s="16" t="n">
        <v>11775.47</v>
      </c>
      <c r="H70" s="0" t="n">
        <v>9</v>
      </c>
      <c r="I70" s="16" t="n">
        <f aca="false">F70*H70</f>
        <v>76281.66</v>
      </c>
      <c r="J70" s="17" t="n">
        <f aca="false">IF(I70=0,0,G70/I70)</f>
        <v>0.154368297700915</v>
      </c>
    </row>
    <row r="71" customFormat="false" ht="15" hidden="false" customHeight="false" outlineLevel="0" collapsed="false">
      <c r="A71" s="0" t="n">
        <v>1118</v>
      </c>
      <c r="B71" s="14" t="n">
        <v>45381</v>
      </c>
      <c r="C71" s="15" t="s">
        <v>37</v>
      </c>
      <c r="D71" s="15" t="s">
        <v>60</v>
      </c>
      <c r="E71" s="15" t="s">
        <v>23</v>
      </c>
      <c r="F71" s="16" t="n">
        <v>2720.17</v>
      </c>
      <c r="G71" s="16" t="n">
        <v>4151.13</v>
      </c>
      <c r="H71" s="0" t="n">
        <v>8</v>
      </c>
      <c r="I71" s="16" t="n">
        <f aca="false">F71*H71</f>
        <v>21761.36</v>
      </c>
      <c r="J71" s="17" t="n">
        <f aca="false">IF(I71=0,0,G71/I71)</f>
        <v>0.190756919604289</v>
      </c>
    </row>
    <row r="72" customFormat="false" ht="15" hidden="false" customHeight="false" outlineLevel="0" collapsed="false">
      <c r="A72" s="0" t="n">
        <v>1151</v>
      </c>
      <c r="B72" s="14" t="n">
        <v>45381</v>
      </c>
      <c r="C72" s="15" t="s">
        <v>17</v>
      </c>
      <c r="D72" s="15" t="s">
        <v>26</v>
      </c>
      <c r="E72" s="15" t="s">
        <v>19</v>
      </c>
      <c r="F72" s="16" t="n">
        <v>122.69</v>
      </c>
      <c r="G72" s="16" t="n">
        <v>151.1</v>
      </c>
      <c r="H72" s="0" t="n">
        <v>4</v>
      </c>
      <c r="I72" s="16" t="n">
        <f aca="false">F72*H72</f>
        <v>490.76</v>
      </c>
      <c r="J72" s="17" t="n">
        <f aca="false">IF(I72=0,0,G72/I72)</f>
        <v>0.307889803569973</v>
      </c>
    </row>
    <row r="73" customFormat="false" ht="15" hidden="false" customHeight="false" outlineLevel="0" collapsed="false">
      <c r="A73" s="0" t="n">
        <v>1071</v>
      </c>
      <c r="B73" s="14" t="n">
        <v>45382</v>
      </c>
      <c r="C73" s="15" t="s">
        <v>25</v>
      </c>
      <c r="D73" s="15" t="s">
        <v>95</v>
      </c>
      <c r="E73" s="15" t="s">
        <v>23</v>
      </c>
      <c r="F73" s="16" t="n">
        <v>2716.44</v>
      </c>
      <c r="G73" s="16" t="n">
        <v>4173.59</v>
      </c>
      <c r="H73" s="0" t="n">
        <v>12</v>
      </c>
      <c r="I73" s="16" t="n">
        <f aca="false">F73*H73</f>
        <v>32597.28</v>
      </c>
      <c r="J73" s="17" t="n">
        <f aca="false">IF(I73=0,0,G73/I73)</f>
        <v>0.128034915796655</v>
      </c>
    </row>
    <row r="74" customFormat="false" ht="15" hidden="false" customHeight="false" outlineLevel="0" collapsed="false">
      <c r="A74" s="0" t="n">
        <v>1315</v>
      </c>
      <c r="B74" s="14" t="n">
        <v>45383</v>
      </c>
      <c r="C74" s="15" t="s">
        <v>37</v>
      </c>
      <c r="D74" s="15" t="s">
        <v>53</v>
      </c>
      <c r="E74" s="15" t="s">
        <v>30</v>
      </c>
      <c r="F74" s="16" t="n">
        <v>6234.06</v>
      </c>
      <c r="G74" s="16" t="n">
        <v>5345.92</v>
      </c>
      <c r="H74" s="0" t="n">
        <v>9</v>
      </c>
      <c r="I74" s="16" t="n">
        <f aca="false">F74*H74</f>
        <v>56106.54</v>
      </c>
      <c r="J74" s="17" t="n">
        <f aca="false">IF(I74=0,0,G74/I74)</f>
        <v>0.0952815839294314</v>
      </c>
    </row>
    <row r="75" customFormat="false" ht="15" hidden="false" customHeight="false" outlineLevel="0" collapsed="false">
      <c r="A75" s="0" t="n">
        <v>1214</v>
      </c>
      <c r="B75" s="14" t="n">
        <v>45384</v>
      </c>
      <c r="C75" s="15" t="s">
        <v>25</v>
      </c>
      <c r="D75" s="15" t="s">
        <v>42</v>
      </c>
      <c r="E75" s="15" t="s">
        <v>35</v>
      </c>
      <c r="F75" s="16" t="n">
        <v>4515.72</v>
      </c>
      <c r="G75" s="16" t="n">
        <v>10679.78</v>
      </c>
      <c r="H75" s="0" t="n">
        <v>12</v>
      </c>
      <c r="I75" s="16" t="n">
        <f aca="false">F75*H75</f>
        <v>54188.64</v>
      </c>
      <c r="J75" s="17" t="n">
        <f aca="false">IF(I75=0,0,G75/I75)</f>
        <v>0.197085219337485</v>
      </c>
    </row>
    <row r="76" customFormat="false" ht="15" hidden="false" customHeight="false" outlineLevel="0" collapsed="false">
      <c r="A76" s="0" t="n">
        <v>1183</v>
      </c>
      <c r="B76" s="14" t="n">
        <v>45384</v>
      </c>
      <c r="C76" s="15" t="s">
        <v>37</v>
      </c>
      <c r="D76" s="15" t="s">
        <v>26</v>
      </c>
      <c r="E76" s="15" t="s">
        <v>19</v>
      </c>
      <c r="F76" s="16" t="n">
        <v>361.48</v>
      </c>
      <c r="G76" s="16" t="n">
        <v>303.81</v>
      </c>
      <c r="H76" s="0" t="n">
        <v>3</v>
      </c>
      <c r="I76" s="16" t="n">
        <f aca="false">F76*H76</f>
        <v>1084.44</v>
      </c>
      <c r="J76" s="17" t="n">
        <f aca="false">IF(I76=0,0,G76/I76)</f>
        <v>0.280153812105787</v>
      </c>
    </row>
    <row r="77" customFormat="false" ht="15" hidden="false" customHeight="false" outlineLevel="0" collapsed="false">
      <c r="A77" s="0" t="n">
        <v>1032</v>
      </c>
      <c r="B77" s="14" t="n">
        <v>45385</v>
      </c>
      <c r="C77" s="15" t="s">
        <v>17</v>
      </c>
      <c r="D77" s="15" t="s">
        <v>42</v>
      </c>
      <c r="E77" s="15" t="s">
        <v>35</v>
      </c>
      <c r="F77" s="16" t="n">
        <v>3189.3</v>
      </c>
      <c r="G77" s="16" t="n">
        <v>3268.05</v>
      </c>
      <c r="H77" s="0" t="n">
        <v>5</v>
      </c>
      <c r="I77" s="16" t="n">
        <f aca="false">F77*H77</f>
        <v>15946.5</v>
      </c>
      <c r="J77" s="17" t="n">
        <f aca="false">IF(I77=0,0,G77/I77)</f>
        <v>0.204938387733986</v>
      </c>
    </row>
    <row r="78" customFormat="false" ht="15" hidden="false" customHeight="false" outlineLevel="0" collapsed="false">
      <c r="A78" s="0" t="n">
        <v>1039</v>
      </c>
      <c r="B78" s="14" t="n">
        <v>45387</v>
      </c>
      <c r="C78" s="15" t="s">
        <v>37</v>
      </c>
      <c r="D78" s="15" t="s">
        <v>66</v>
      </c>
      <c r="E78" s="15" t="s">
        <v>30</v>
      </c>
      <c r="F78" s="16" t="n">
        <v>8152.83</v>
      </c>
      <c r="G78" s="16" t="n">
        <v>2625.63</v>
      </c>
      <c r="H78" s="0" t="n">
        <v>2</v>
      </c>
      <c r="I78" s="16" t="n">
        <f aca="false">F78*H78</f>
        <v>16305.66</v>
      </c>
      <c r="J78" s="17" t="n">
        <f aca="false">IF(I78=0,0,G78/I78)</f>
        <v>0.161025680653221</v>
      </c>
    </row>
    <row r="79" customFormat="false" ht="15" hidden="false" customHeight="false" outlineLevel="0" collapsed="false">
      <c r="A79" s="0" t="n">
        <v>1246</v>
      </c>
      <c r="B79" s="14" t="n">
        <v>45387</v>
      </c>
      <c r="C79" s="15" t="s">
        <v>37</v>
      </c>
      <c r="D79" s="15" t="s">
        <v>66</v>
      </c>
      <c r="E79" s="15" t="s">
        <v>30</v>
      </c>
      <c r="F79" s="16" t="n">
        <v>7418.58</v>
      </c>
      <c r="G79" s="16" t="n">
        <v>11253.99</v>
      </c>
      <c r="H79" s="0" t="n">
        <v>8</v>
      </c>
      <c r="I79" s="16" t="n">
        <f aca="false">F79*H79</f>
        <v>59348.64</v>
      </c>
      <c r="J79" s="17" t="n">
        <f aca="false">IF(I79=0,0,G79/I79)</f>
        <v>0.189625069757285</v>
      </c>
    </row>
    <row r="80" customFormat="false" ht="15" hidden="false" customHeight="false" outlineLevel="0" collapsed="false">
      <c r="A80" s="0" t="n">
        <v>1285</v>
      </c>
      <c r="B80" s="14" t="n">
        <v>45390</v>
      </c>
      <c r="C80" s="15" t="s">
        <v>17</v>
      </c>
      <c r="D80" s="15" t="s">
        <v>26</v>
      </c>
      <c r="E80" s="15" t="s">
        <v>19</v>
      </c>
      <c r="F80" s="16" t="n">
        <v>203.45</v>
      </c>
      <c r="G80" s="16" t="n">
        <v>211.34</v>
      </c>
      <c r="H80" s="0" t="n">
        <v>4</v>
      </c>
      <c r="I80" s="16" t="n">
        <f aca="false">F80*H80</f>
        <v>813.8</v>
      </c>
      <c r="J80" s="17" t="n">
        <f aca="false">IF(I80=0,0,G80/I80)</f>
        <v>0.259695256819858</v>
      </c>
    </row>
    <row r="81" customFormat="false" ht="15" hidden="false" customHeight="false" outlineLevel="0" collapsed="false">
      <c r="A81" s="0" t="n">
        <v>1298</v>
      </c>
      <c r="B81" s="14" t="n">
        <v>45390</v>
      </c>
      <c r="C81" s="15" t="s">
        <v>21</v>
      </c>
      <c r="D81" s="15" t="s">
        <v>47</v>
      </c>
      <c r="E81" s="15" t="s">
        <v>30</v>
      </c>
      <c r="F81" s="16" t="n">
        <v>5641.5</v>
      </c>
      <c r="G81" s="16" t="n">
        <v>1892.55</v>
      </c>
      <c r="H81" s="0" t="n">
        <v>2</v>
      </c>
      <c r="I81" s="16" t="n">
        <f aca="false">F81*H81</f>
        <v>11283</v>
      </c>
      <c r="J81" s="17" t="n">
        <f aca="false">IF(I81=0,0,G81/I81)</f>
        <v>0.167734645041212</v>
      </c>
    </row>
    <row r="82" customFormat="false" ht="15" hidden="false" customHeight="false" outlineLevel="0" collapsed="false">
      <c r="A82" s="0" t="n">
        <v>1068</v>
      </c>
      <c r="B82" s="14" t="n">
        <v>45393</v>
      </c>
      <c r="C82" s="15" t="s">
        <v>25</v>
      </c>
      <c r="D82" s="15" t="s">
        <v>53</v>
      </c>
      <c r="E82" s="15" t="s">
        <v>30</v>
      </c>
      <c r="F82" s="16" t="n">
        <v>2732.04</v>
      </c>
      <c r="G82" s="16" t="n">
        <v>896.5</v>
      </c>
      <c r="H82" s="0" t="n">
        <v>3</v>
      </c>
      <c r="I82" s="16" t="n">
        <f aca="false">F82*H82</f>
        <v>8196.12</v>
      </c>
      <c r="J82" s="17" t="n">
        <f aca="false">IF(I82=0,0,G82/I82)</f>
        <v>0.109381024191935</v>
      </c>
    </row>
    <row r="83" customFormat="false" ht="15" hidden="false" customHeight="false" outlineLevel="0" collapsed="false">
      <c r="A83" s="0" t="n">
        <v>1251</v>
      </c>
      <c r="B83" s="14" t="n">
        <v>45394</v>
      </c>
      <c r="C83" s="15" t="s">
        <v>37</v>
      </c>
      <c r="D83" s="15" t="s">
        <v>51</v>
      </c>
      <c r="E83" s="15" t="s">
        <v>19</v>
      </c>
      <c r="F83" s="16" t="n">
        <v>180.2</v>
      </c>
      <c r="G83" s="16" t="n">
        <v>161.53</v>
      </c>
      <c r="H83" s="0" t="n">
        <v>3</v>
      </c>
      <c r="I83" s="16" t="n">
        <f aca="false">F83*H83</f>
        <v>540.6</v>
      </c>
      <c r="J83" s="17" t="n">
        <f aca="false">IF(I83=0,0,G83/I83)</f>
        <v>0.298797632260451</v>
      </c>
    </row>
    <row r="84" customFormat="false" ht="15" hidden="false" customHeight="false" outlineLevel="0" collapsed="false">
      <c r="A84" s="0" t="n">
        <v>1234</v>
      </c>
      <c r="B84" s="14" t="n">
        <v>45395</v>
      </c>
      <c r="C84" s="15" t="s">
        <v>21</v>
      </c>
      <c r="D84" s="15" t="s">
        <v>42</v>
      </c>
      <c r="E84" s="15" t="s">
        <v>35</v>
      </c>
      <c r="F84" s="16" t="n">
        <v>4601.77</v>
      </c>
      <c r="G84" s="16" t="n">
        <v>949.32</v>
      </c>
      <c r="H84" s="0" t="n">
        <v>1</v>
      </c>
      <c r="I84" s="16" t="n">
        <f aca="false">F84*H84</f>
        <v>4601.77</v>
      </c>
      <c r="J84" s="17" t="n">
        <f aca="false">IF(I84=0,0,G84/I84)</f>
        <v>0.206294534494336</v>
      </c>
    </row>
    <row r="85" customFormat="false" ht="15" hidden="false" customHeight="false" outlineLevel="0" collapsed="false">
      <c r="A85" s="0" t="n">
        <v>1109</v>
      </c>
      <c r="B85" s="14" t="n">
        <v>45398</v>
      </c>
      <c r="C85" s="15" t="s">
        <v>37</v>
      </c>
      <c r="D85" s="15" t="s">
        <v>32</v>
      </c>
      <c r="E85" s="15" t="s">
        <v>19</v>
      </c>
      <c r="F85" s="16" t="n">
        <v>166.06</v>
      </c>
      <c r="G85" s="16" t="n">
        <v>606.61</v>
      </c>
      <c r="H85" s="0" t="n">
        <v>11</v>
      </c>
      <c r="I85" s="16" t="n">
        <f aca="false">F85*H85</f>
        <v>1826.66</v>
      </c>
      <c r="J85" s="17" t="n">
        <f aca="false">IF(I85=0,0,G85/I85)</f>
        <v>0.332086978419629</v>
      </c>
    </row>
    <row r="86" customFormat="false" ht="15" hidden="false" customHeight="false" outlineLevel="0" collapsed="false">
      <c r="A86" s="0" t="n">
        <v>1012</v>
      </c>
      <c r="B86" s="14" t="n">
        <v>45400</v>
      </c>
      <c r="C86" s="15" t="s">
        <v>37</v>
      </c>
      <c r="D86" s="15" t="s">
        <v>45</v>
      </c>
      <c r="E86" s="15" t="s">
        <v>35</v>
      </c>
      <c r="F86" s="16" t="n">
        <v>4968.38</v>
      </c>
      <c r="G86" s="16" t="n">
        <v>6844.51</v>
      </c>
      <c r="H86" s="0" t="n">
        <v>10</v>
      </c>
      <c r="I86" s="16" t="n">
        <f aca="false">F86*H86</f>
        <v>49683.8</v>
      </c>
      <c r="J86" s="17" t="n">
        <f aca="false">IF(I86=0,0,G86/I86)</f>
        <v>0.137761403113288</v>
      </c>
    </row>
    <row r="87" customFormat="false" ht="15" hidden="false" customHeight="false" outlineLevel="0" collapsed="false">
      <c r="A87" s="0" t="n">
        <v>1028</v>
      </c>
      <c r="B87" s="14" t="n">
        <v>45401</v>
      </c>
      <c r="C87" s="15" t="s">
        <v>17</v>
      </c>
      <c r="D87" s="15" t="s">
        <v>53</v>
      </c>
      <c r="E87" s="15" t="s">
        <v>30</v>
      </c>
      <c r="F87" s="16" t="n">
        <v>3756.96</v>
      </c>
      <c r="G87" s="16" t="n">
        <v>6500.88</v>
      </c>
      <c r="H87" s="0" t="n">
        <v>9</v>
      </c>
      <c r="I87" s="16" t="n">
        <f aca="false">F87*H87</f>
        <v>33812.64</v>
      </c>
      <c r="J87" s="17" t="n">
        <f aca="false">IF(I87=0,0,G87/I87)</f>
        <v>0.192261828712576</v>
      </c>
    </row>
    <row r="88" customFormat="false" ht="15" hidden="false" customHeight="false" outlineLevel="0" collapsed="false">
      <c r="A88" s="0" t="n">
        <v>1196</v>
      </c>
      <c r="B88" s="14" t="n">
        <v>45405</v>
      </c>
      <c r="C88" s="15" t="s">
        <v>21</v>
      </c>
      <c r="D88" s="15" t="s">
        <v>45</v>
      </c>
      <c r="E88" s="15" t="s">
        <v>35</v>
      </c>
      <c r="F88" s="16" t="n">
        <v>4550.21</v>
      </c>
      <c r="G88" s="16" t="n">
        <v>2980.36</v>
      </c>
      <c r="H88" s="0" t="n">
        <v>6</v>
      </c>
      <c r="I88" s="16" t="n">
        <f aca="false">F88*H88</f>
        <v>27301.26</v>
      </c>
      <c r="J88" s="17" t="n">
        <f aca="false">IF(I88=0,0,G88/I88)</f>
        <v>0.109165657555732</v>
      </c>
    </row>
    <row r="89" customFormat="false" ht="15" hidden="false" customHeight="false" outlineLevel="0" collapsed="false">
      <c r="A89" s="0" t="n">
        <v>1180</v>
      </c>
      <c r="B89" s="14" t="n">
        <v>45406</v>
      </c>
      <c r="C89" s="15" t="s">
        <v>17</v>
      </c>
      <c r="D89" s="15" t="s">
        <v>29</v>
      </c>
      <c r="E89" s="15" t="s">
        <v>30</v>
      </c>
      <c r="F89" s="16" t="n">
        <v>5826.08</v>
      </c>
      <c r="G89" s="16" t="n">
        <v>1709.98</v>
      </c>
      <c r="H89" s="0" t="n">
        <v>2</v>
      </c>
      <c r="I89" s="16" t="n">
        <f aca="false">F89*H89</f>
        <v>11652.16</v>
      </c>
      <c r="J89" s="17" t="n">
        <f aca="false">IF(I89=0,0,G89/I89)</f>
        <v>0.146752190151869</v>
      </c>
    </row>
    <row r="90" customFormat="false" ht="15" hidden="false" customHeight="false" outlineLevel="0" collapsed="false">
      <c r="A90" s="0" t="n">
        <v>1212</v>
      </c>
      <c r="B90" s="14" t="n">
        <v>45407</v>
      </c>
      <c r="C90" s="15" t="s">
        <v>25</v>
      </c>
      <c r="D90" s="15" t="s">
        <v>18</v>
      </c>
      <c r="E90" s="15" t="s">
        <v>19</v>
      </c>
      <c r="F90" s="16" t="n">
        <v>135.22</v>
      </c>
      <c r="G90" s="16" t="n">
        <v>105.13</v>
      </c>
      <c r="H90" s="0" t="n">
        <v>3</v>
      </c>
      <c r="I90" s="16" t="n">
        <f aca="false">F90*H90</f>
        <v>405.66</v>
      </c>
      <c r="J90" s="17" t="n">
        <f aca="false">IF(I90=0,0,G90/I90)</f>
        <v>0.259157915495735</v>
      </c>
    </row>
    <row r="91" customFormat="false" ht="15" hidden="false" customHeight="false" outlineLevel="0" collapsed="false">
      <c r="A91" s="0" t="n">
        <v>1175</v>
      </c>
      <c r="B91" s="14" t="n">
        <v>45408</v>
      </c>
      <c r="C91" s="15" t="s">
        <v>17</v>
      </c>
      <c r="D91" s="15" t="s">
        <v>47</v>
      </c>
      <c r="E91" s="15" t="s">
        <v>30</v>
      </c>
      <c r="F91" s="16" t="n">
        <v>5719.85</v>
      </c>
      <c r="G91" s="16" t="n">
        <v>5382.03</v>
      </c>
      <c r="H91" s="0" t="n">
        <v>7</v>
      </c>
      <c r="I91" s="16" t="n">
        <f aca="false">F91*H91</f>
        <v>40038.95</v>
      </c>
      <c r="J91" s="17" t="n">
        <f aca="false">IF(I91=0,0,G91/I91)</f>
        <v>0.134419858662627</v>
      </c>
    </row>
    <row r="92" customFormat="false" ht="15" hidden="false" customHeight="false" outlineLevel="0" collapsed="false">
      <c r="A92" s="0" t="n">
        <v>1111</v>
      </c>
      <c r="B92" s="14" t="n">
        <v>45410</v>
      </c>
      <c r="C92" s="15" t="s">
        <v>37</v>
      </c>
      <c r="D92" s="15" t="s">
        <v>45</v>
      </c>
      <c r="E92" s="15" t="s">
        <v>35</v>
      </c>
      <c r="F92" s="16" t="n">
        <v>4239.91</v>
      </c>
      <c r="G92" s="16" t="n">
        <v>3908.32</v>
      </c>
      <c r="H92" s="0" t="n">
        <v>5</v>
      </c>
      <c r="I92" s="16" t="n">
        <f aca="false">F92*H92</f>
        <v>21199.55</v>
      </c>
      <c r="J92" s="17" t="n">
        <f aca="false">IF(I92=0,0,G92/I92)</f>
        <v>0.184358630253944</v>
      </c>
    </row>
    <row r="93" customFormat="false" ht="15" hidden="false" customHeight="false" outlineLevel="0" collapsed="false">
      <c r="A93" s="0" t="n">
        <v>1143</v>
      </c>
      <c r="B93" s="14" t="n">
        <v>45410</v>
      </c>
      <c r="C93" s="15" t="s">
        <v>25</v>
      </c>
      <c r="D93" s="15" t="s">
        <v>47</v>
      </c>
      <c r="E93" s="15" t="s">
        <v>30</v>
      </c>
      <c r="F93" s="16" t="n">
        <v>8560.09</v>
      </c>
      <c r="G93" s="16" t="n">
        <v>9255.06</v>
      </c>
      <c r="H93" s="0" t="n">
        <v>8</v>
      </c>
      <c r="I93" s="16" t="n">
        <f aca="false">F93*H93</f>
        <v>68480.72</v>
      </c>
      <c r="J93" s="17" t="n">
        <f aca="false">IF(I93=0,0,G93/I93)</f>
        <v>0.135148403813511</v>
      </c>
    </row>
    <row r="94" customFormat="false" ht="15" hidden="false" customHeight="false" outlineLevel="0" collapsed="false">
      <c r="A94" s="0" t="n">
        <v>1222</v>
      </c>
      <c r="B94" s="14" t="n">
        <v>45412</v>
      </c>
      <c r="C94" s="15" t="s">
        <v>21</v>
      </c>
      <c r="D94" s="15" t="s">
        <v>34</v>
      </c>
      <c r="E94" s="15" t="s">
        <v>35</v>
      </c>
      <c r="F94" s="16" t="n">
        <v>5476.46</v>
      </c>
      <c r="G94" s="16" t="n">
        <v>5558.21</v>
      </c>
      <c r="H94" s="0" t="n">
        <v>7</v>
      </c>
      <c r="I94" s="16" t="n">
        <f aca="false">F94*H94</f>
        <v>38335.22</v>
      </c>
      <c r="J94" s="17" t="n">
        <f aca="false">IF(I94=0,0,G94/I94)</f>
        <v>0.144989646596524</v>
      </c>
    </row>
    <row r="95" customFormat="false" ht="15" hidden="false" customHeight="false" outlineLevel="0" collapsed="false">
      <c r="A95" s="0" t="n">
        <v>1138</v>
      </c>
      <c r="B95" s="14" t="n">
        <v>45412</v>
      </c>
      <c r="C95" s="15" t="s">
        <v>37</v>
      </c>
      <c r="D95" s="15" t="s">
        <v>69</v>
      </c>
      <c r="E95" s="15" t="s">
        <v>23</v>
      </c>
      <c r="F95" s="16" t="n">
        <v>3332.28</v>
      </c>
      <c r="G95" s="16" t="n">
        <v>6084.03</v>
      </c>
      <c r="H95" s="0" t="n">
        <v>11</v>
      </c>
      <c r="I95" s="16" t="n">
        <f aca="false">F95*H95</f>
        <v>36655.08</v>
      </c>
      <c r="J95" s="17" t="n">
        <f aca="false">IF(I95=0,0,G95/I95)</f>
        <v>0.165980540759971</v>
      </c>
    </row>
    <row r="96" customFormat="false" ht="15" hidden="false" customHeight="false" outlineLevel="0" collapsed="false">
      <c r="A96" s="0" t="n">
        <v>1053</v>
      </c>
      <c r="B96" s="14" t="n">
        <v>45413</v>
      </c>
      <c r="C96" s="15" t="s">
        <v>25</v>
      </c>
      <c r="D96" s="15" t="s">
        <v>18</v>
      </c>
      <c r="E96" s="15" t="s">
        <v>19</v>
      </c>
      <c r="F96" s="16" t="n">
        <v>586.91</v>
      </c>
      <c r="G96" s="16" t="n">
        <v>637.66</v>
      </c>
      <c r="H96" s="0" t="n">
        <v>3</v>
      </c>
      <c r="I96" s="16" t="n">
        <f aca="false">F96*H96</f>
        <v>1760.73</v>
      </c>
      <c r="J96" s="17" t="n">
        <f aca="false">IF(I96=0,0,G96/I96)</f>
        <v>0.362156605498856</v>
      </c>
    </row>
    <row r="97" customFormat="false" ht="15" hidden="false" customHeight="false" outlineLevel="0" collapsed="false">
      <c r="A97" s="0" t="n">
        <v>1146</v>
      </c>
      <c r="B97" s="14" t="n">
        <v>45413</v>
      </c>
      <c r="C97" s="15" t="s">
        <v>37</v>
      </c>
      <c r="D97" s="15" t="s">
        <v>45</v>
      </c>
      <c r="E97" s="15" t="s">
        <v>35</v>
      </c>
      <c r="F97" s="16" t="n">
        <v>3659.27</v>
      </c>
      <c r="G97" s="16" t="n">
        <v>4328.34</v>
      </c>
      <c r="H97" s="0" t="n">
        <v>7</v>
      </c>
      <c r="I97" s="16" t="n">
        <f aca="false">F97*H97</f>
        <v>25614.89</v>
      </c>
      <c r="J97" s="17" t="n">
        <f aca="false">IF(I97=0,0,G97/I97)</f>
        <v>0.168977497072992</v>
      </c>
    </row>
    <row r="98" customFormat="false" ht="15" hidden="false" customHeight="false" outlineLevel="0" collapsed="false">
      <c r="A98" s="0" t="n">
        <v>1226</v>
      </c>
      <c r="B98" s="14" t="n">
        <v>45413</v>
      </c>
      <c r="C98" s="15" t="s">
        <v>21</v>
      </c>
      <c r="D98" s="15" t="s">
        <v>42</v>
      </c>
      <c r="E98" s="15" t="s">
        <v>35</v>
      </c>
      <c r="F98" s="16" t="n">
        <v>1723.95</v>
      </c>
      <c r="G98" s="16" t="n">
        <v>1108.61</v>
      </c>
      <c r="H98" s="0" t="n">
        <v>5</v>
      </c>
      <c r="I98" s="16" t="n">
        <f aca="false">F98*H98</f>
        <v>8619.75</v>
      </c>
      <c r="J98" s="17" t="n">
        <f aca="false">IF(I98=0,0,G98/I98)</f>
        <v>0.128612778792888</v>
      </c>
    </row>
    <row r="99" customFormat="false" ht="15" hidden="false" customHeight="false" outlineLevel="0" collapsed="false">
      <c r="A99" s="0" t="n">
        <v>1022</v>
      </c>
      <c r="B99" s="14" t="n">
        <v>45415</v>
      </c>
      <c r="C99" s="15" t="s">
        <v>37</v>
      </c>
      <c r="D99" s="15" t="s">
        <v>51</v>
      </c>
      <c r="E99" s="15" t="s">
        <v>19</v>
      </c>
      <c r="F99" s="16" t="n">
        <v>570.82</v>
      </c>
      <c r="G99" s="16" t="n">
        <v>1239.43</v>
      </c>
      <c r="H99" s="0" t="n">
        <v>10</v>
      </c>
      <c r="I99" s="16" t="n">
        <f aca="false">F99*H99</f>
        <v>5708.2</v>
      </c>
      <c r="J99" s="17" t="n">
        <f aca="false">IF(I99=0,0,G99/I99)</f>
        <v>0.21713149504222</v>
      </c>
    </row>
    <row r="100" customFormat="false" ht="15" hidden="false" customHeight="false" outlineLevel="0" collapsed="false">
      <c r="A100" s="0" t="n">
        <v>1070</v>
      </c>
      <c r="B100" s="14" t="n">
        <v>45416</v>
      </c>
      <c r="C100" s="15" t="s">
        <v>17</v>
      </c>
      <c r="D100" s="15" t="s">
        <v>45</v>
      </c>
      <c r="E100" s="15" t="s">
        <v>35</v>
      </c>
      <c r="F100" s="16" t="n">
        <v>4021.05</v>
      </c>
      <c r="G100" s="16" t="n">
        <v>1214.34</v>
      </c>
      <c r="H100" s="0" t="n">
        <v>3</v>
      </c>
      <c r="I100" s="16" t="n">
        <f aca="false">F100*H100</f>
        <v>12063.15</v>
      </c>
      <c r="J100" s="17" t="n">
        <f aca="false">IF(I100=0,0,G100/I100)</f>
        <v>0.100665249126472</v>
      </c>
    </row>
    <row r="101" customFormat="false" ht="15" hidden="false" customHeight="false" outlineLevel="0" collapsed="false">
      <c r="A101" s="0" t="n">
        <v>1195</v>
      </c>
      <c r="B101" s="14" t="n">
        <v>45416</v>
      </c>
      <c r="C101" s="15" t="s">
        <v>37</v>
      </c>
      <c r="D101" s="15" t="s">
        <v>95</v>
      </c>
      <c r="E101" s="15" t="s">
        <v>23</v>
      </c>
      <c r="F101" s="16" t="n">
        <v>2978.82</v>
      </c>
      <c r="G101" s="16" t="n">
        <v>4250.29</v>
      </c>
      <c r="H101" s="0" t="n">
        <v>7</v>
      </c>
      <c r="I101" s="16" t="n">
        <f aca="false">F101*H101</f>
        <v>20851.74</v>
      </c>
      <c r="J101" s="17" t="n">
        <f aca="false">IF(I101=0,0,G101/I101)</f>
        <v>0.203833828735635</v>
      </c>
    </row>
    <row r="102" customFormat="false" ht="15" hidden="false" customHeight="false" outlineLevel="0" collapsed="false">
      <c r="A102" s="0" t="n">
        <v>1141</v>
      </c>
      <c r="B102" s="14" t="n">
        <v>45417</v>
      </c>
      <c r="C102" s="15" t="s">
        <v>25</v>
      </c>
      <c r="D102" s="15" t="s">
        <v>18</v>
      </c>
      <c r="E102" s="15" t="s">
        <v>19</v>
      </c>
      <c r="F102" s="16" t="n">
        <v>276.63</v>
      </c>
      <c r="G102" s="16" t="n">
        <v>837.43</v>
      </c>
      <c r="H102" s="0" t="n">
        <v>9</v>
      </c>
      <c r="I102" s="16" t="n">
        <f aca="false">F102*H102</f>
        <v>2489.67</v>
      </c>
      <c r="J102" s="17" t="n">
        <f aca="false">IF(I102=0,0,G102/I102)</f>
        <v>0.336361847152434</v>
      </c>
    </row>
    <row r="103" customFormat="false" ht="15" hidden="false" customHeight="false" outlineLevel="0" collapsed="false">
      <c r="A103" s="0" t="n">
        <v>1001</v>
      </c>
      <c r="B103" s="14" t="n">
        <v>45417</v>
      </c>
      <c r="C103" s="15" t="s">
        <v>21</v>
      </c>
      <c r="D103" s="15" t="s">
        <v>22</v>
      </c>
      <c r="E103" s="15" t="s">
        <v>23</v>
      </c>
      <c r="F103" s="16" t="n">
        <v>1316.29</v>
      </c>
      <c r="G103" s="16" t="n">
        <v>718.16</v>
      </c>
      <c r="H103" s="0" t="n">
        <v>4</v>
      </c>
      <c r="I103" s="16" t="n">
        <f aca="false">F103*H103</f>
        <v>5265.16</v>
      </c>
      <c r="J103" s="17" t="n">
        <f aca="false">IF(I103=0,0,G103/I103)</f>
        <v>0.136398514005272</v>
      </c>
    </row>
    <row r="104" customFormat="false" ht="15" hidden="false" customHeight="false" outlineLevel="0" collapsed="false">
      <c r="A104" s="0" t="n">
        <v>1319</v>
      </c>
      <c r="B104" s="14" t="n">
        <v>45417</v>
      </c>
      <c r="C104" s="15" t="s">
        <v>37</v>
      </c>
      <c r="D104" s="15" t="s">
        <v>95</v>
      </c>
      <c r="E104" s="15" t="s">
        <v>23</v>
      </c>
      <c r="F104" s="16" t="n">
        <v>963.68</v>
      </c>
      <c r="G104" s="16" t="n">
        <v>2199.9</v>
      </c>
      <c r="H104" s="0" t="n">
        <v>12</v>
      </c>
      <c r="I104" s="16" t="n">
        <f aca="false">F104*H104</f>
        <v>11564.16</v>
      </c>
      <c r="J104" s="17" t="n">
        <f aca="false">IF(I104=0,0,G104/I104)</f>
        <v>0.190234310144446</v>
      </c>
    </row>
    <row r="105" customFormat="false" ht="15" hidden="false" customHeight="false" outlineLevel="0" collapsed="false">
      <c r="A105" s="0" t="n">
        <v>1306</v>
      </c>
      <c r="B105" s="14" t="n">
        <v>45418</v>
      </c>
      <c r="C105" s="15" t="s">
        <v>25</v>
      </c>
      <c r="D105" s="15" t="s">
        <v>34</v>
      </c>
      <c r="E105" s="15" t="s">
        <v>35</v>
      </c>
      <c r="F105" s="16" t="n">
        <v>4445.38</v>
      </c>
      <c r="G105" s="16" t="n">
        <v>10013.39</v>
      </c>
      <c r="H105" s="0" t="n">
        <v>11</v>
      </c>
      <c r="I105" s="16" t="n">
        <f aca="false">F105*H105</f>
        <v>48899.18</v>
      </c>
      <c r="J105" s="17" t="n">
        <f aca="false">IF(I105=0,0,G105/I105)</f>
        <v>0.204776235511516</v>
      </c>
    </row>
    <row r="106" customFormat="false" ht="15" hidden="false" customHeight="false" outlineLevel="0" collapsed="false">
      <c r="A106" s="0" t="n">
        <v>1074</v>
      </c>
      <c r="B106" s="14" t="n">
        <v>45418</v>
      </c>
      <c r="C106" s="15" t="s">
        <v>21</v>
      </c>
      <c r="D106" s="15" t="s">
        <v>45</v>
      </c>
      <c r="E106" s="15" t="s">
        <v>35</v>
      </c>
      <c r="F106" s="16" t="n">
        <v>2392.44</v>
      </c>
      <c r="G106" s="16" t="n">
        <v>5087.6</v>
      </c>
      <c r="H106" s="0" t="n">
        <v>11</v>
      </c>
      <c r="I106" s="16" t="n">
        <f aca="false">F106*H106</f>
        <v>26316.84</v>
      </c>
      <c r="J106" s="17" t="n">
        <f aca="false">IF(I106=0,0,G106/I106)</f>
        <v>0.193321082622382</v>
      </c>
    </row>
    <row r="107" customFormat="false" ht="15" hidden="false" customHeight="false" outlineLevel="0" collapsed="false">
      <c r="A107" s="0" t="n">
        <v>1266</v>
      </c>
      <c r="B107" s="14" t="n">
        <v>45419</v>
      </c>
      <c r="C107" s="15" t="s">
        <v>17</v>
      </c>
      <c r="D107" s="15" t="s">
        <v>18</v>
      </c>
      <c r="E107" s="15" t="s">
        <v>19</v>
      </c>
      <c r="F107" s="16" t="n">
        <v>497.41</v>
      </c>
      <c r="G107" s="16" t="n">
        <v>577.12</v>
      </c>
      <c r="H107" s="0" t="n">
        <v>3</v>
      </c>
      <c r="I107" s="16" t="n">
        <f aca="false">F107*H107</f>
        <v>1492.23</v>
      </c>
      <c r="J107" s="17" t="n">
        <f aca="false">IF(I107=0,0,G107/I107)</f>
        <v>0.386750031831554</v>
      </c>
    </row>
    <row r="108" customFormat="false" ht="15" hidden="false" customHeight="false" outlineLevel="0" collapsed="false">
      <c r="A108" s="0" t="n">
        <v>1105</v>
      </c>
      <c r="B108" s="14" t="n">
        <v>45421</v>
      </c>
      <c r="C108" s="15" t="s">
        <v>37</v>
      </c>
      <c r="D108" s="15" t="s">
        <v>51</v>
      </c>
      <c r="E108" s="15" t="s">
        <v>19</v>
      </c>
      <c r="F108" s="16" t="n">
        <v>112.75</v>
      </c>
      <c r="G108" s="16" t="n">
        <v>192.19</v>
      </c>
      <c r="H108" s="0" t="n">
        <v>8</v>
      </c>
      <c r="I108" s="16" t="n">
        <f aca="false">F108*H108</f>
        <v>902</v>
      </c>
      <c r="J108" s="17" t="n">
        <f aca="false">IF(I108=0,0,G108/I108)</f>
        <v>0.213070953436807</v>
      </c>
    </row>
    <row r="109" customFormat="false" ht="15" hidden="false" customHeight="false" outlineLevel="0" collapsed="false">
      <c r="A109" s="0" t="n">
        <v>1084</v>
      </c>
      <c r="B109" s="14" t="n">
        <v>45421</v>
      </c>
      <c r="C109" s="15" t="s">
        <v>17</v>
      </c>
      <c r="D109" s="15" t="s">
        <v>45</v>
      </c>
      <c r="E109" s="15" t="s">
        <v>35</v>
      </c>
      <c r="F109" s="16" t="n">
        <v>3222.32</v>
      </c>
      <c r="G109" s="16" t="n">
        <v>1223.73</v>
      </c>
      <c r="H109" s="0" t="n">
        <v>2</v>
      </c>
      <c r="I109" s="16" t="n">
        <f aca="false">F109*H109</f>
        <v>6444.64</v>
      </c>
      <c r="J109" s="17" t="n">
        <f aca="false">IF(I109=0,0,G109/I109)</f>
        <v>0.18988337595273</v>
      </c>
    </row>
    <row r="110" customFormat="false" ht="15" hidden="false" customHeight="false" outlineLevel="0" collapsed="false">
      <c r="A110" s="0" t="n">
        <v>1061</v>
      </c>
      <c r="B110" s="14" t="n">
        <v>45422</v>
      </c>
      <c r="C110" s="15" t="s">
        <v>25</v>
      </c>
      <c r="D110" s="15" t="s">
        <v>95</v>
      </c>
      <c r="E110" s="15" t="s">
        <v>23</v>
      </c>
      <c r="F110" s="16" t="n">
        <v>3422.51</v>
      </c>
      <c r="G110" s="16" t="n">
        <v>411.63</v>
      </c>
      <c r="H110" s="0" t="n">
        <v>1</v>
      </c>
      <c r="I110" s="16" t="n">
        <f aca="false">F110*H110</f>
        <v>3422.51</v>
      </c>
      <c r="J110" s="17" t="n">
        <f aca="false">IF(I110=0,0,G110/I110)</f>
        <v>0.12027137977683</v>
      </c>
    </row>
    <row r="111" customFormat="false" ht="15" hidden="false" customHeight="false" outlineLevel="0" collapsed="false">
      <c r="A111" s="0" t="n">
        <v>1152</v>
      </c>
      <c r="B111" s="14" t="n">
        <v>45423</v>
      </c>
      <c r="C111" s="15" t="s">
        <v>25</v>
      </c>
      <c r="D111" s="15" t="s">
        <v>26</v>
      </c>
      <c r="E111" s="15" t="s">
        <v>19</v>
      </c>
      <c r="F111" s="16" t="n">
        <v>582.06</v>
      </c>
      <c r="G111" s="16" t="n">
        <v>1206.16</v>
      </c>
      <c r="H111" s="0" t="n">
        <v>8</v>
      </c>
      <c r="I111" s="16" t="n">
        <f aca="false">F111*H111</f>
        <v>4656.48</v>
      </c>
      <c r="J111" s="17" t="n">
        <f aca="false">IF(I111=0,0,G111/I111)</f>
        <v>0.259028278871594</v>
      </c>
    </row>
    <row r="112" customFormat="false" ht="15" hidden="false" customHeight="false" outlineLevel="0" collapsed="false">
      <c r="A112" s="0" t="n">
        <v>1225</v>
      </c>
      <c r="B112" s="14" t="n">
        <v>45423</v>
      </c>
      <c r="C112" s="15" t="s">
        <v>37</v>
      </c>
      <c r="D112" s="15" t="s">
        <v>22</v>
      </c>
      <c r="E112" s="15" t="s">
        <v>23</v>
      </c>
      <c r="F112" s="16" t="n">
        <v>3889.36</v>
      </c>
      <c r="G112" s="16" t="n">
        <v>3232.97</v>
      </c>
      <c r="H112" s="0" t="n">
        <v>4</v>
      </c>
      <c r="I112" s="16" t="n">
        <f aca="false">F112*H112</f>
        <v>15557.44</v>
      </c>
      <c r="J112" s="17" t="n">
        <f aca="false">IF(I112=0,0,G112/I112)</f>
        <v>0.207808611185388</v>
      </c>
    </row>
    <row r="113" customFormat="false" ht="15" hidden="false" customHeight="false" outlineLevel="0" collapsed="false">
      <c r="A113" s="0" t="n">
        <v>1059</v>
      </c>
      <c r="B113" s="14" t="n">
        <v>45425</v>
      </c>
      <c r="C113" s="15" t="s">
        <v>37</v>
      </c>
      <c r="D113" s="15" t="s">
        <v>32</v>
      </c>
      <c r="E113" s="15" t="s">
        <v>19</v>
      </c>
      <c r="F113" s="16" t="n">
        <v>369.32</v>
      </c>
      <c r="G113" s="16" t="n">
        <v>439.54</v>
      </c>
      <c r="H113" s="0" t="n">
        <v>3</v>
      </c>
      <c r="I113" s="16" t="n">
        <f aca="false">F113*H113</f>
        <v>1107.96</v>
      </c>
      <c r="J113" s="17" t="n">
        <f aca="false">IF(I113=0,0,G113/I113)</f>
        <v>0.396711072601899</v>
      </c>
    </row>
    <row r="114" customFormat="false" ht="15" hidden="false" customHeight="false" outlineLevel="0" collapsed="false">
      <c r="A114" s="0" t="n">
        <v>1041</v>
      </c>
      <c r="B114" s="14" t="n">
        <v>45425</v>
      </c>
      <c r="C114" s="15" t="s">
        <v>21</v>
      </c>
      <c r="D114" s="15" t="s">
        <v>95</v>
      </c>
      <c r="E114" s="15" t="s">
        <v>23</v>
      </c>
      <c r="F114" s="16" t="n">
        <v>3277.99</v>
      </c>
      <c r="G114" s="16" t="n">
        <v>2232.57</v>
      </c>
      <c r="H114" s="0" t="n">
        <v>4</v>
      </c>
      <c r="I114" s="16" t="n">
        <f aca="false">F114*H114</f>
        <v>13111.96</v>
      </c>
      <c r="J114" s="17" t="n">
        <f aca="false">IF(I114=0,0,G114/I114)</f>
        <v>0.170269738467781</v>
      </c>
    </row>
    <row r="115" customFormat="false" ht="15" hidden="false" customHeight="false" outlineLevel="0" collapsed="false">
      <c r="A115" s="0" t="n">
        <v>1136</v>
      </c>
      <c r="B115" s="14" t="n">
        <v>45427</v>
      </c>
      <c r="C115" s="15" t="s">
        <v>17</v>
      </c>
      <c r="D115" s="15" t="s">
        <v>66</v>
      </c>
      <c r="E115" s="15" t="s">
        <v>30</v>
      </c>
      <c r="F115" s="16" t="n">
        <v>8420.96</v>
      </c>
      <c r="G115" s="16" t="n">
        <v>6452.04</v>
      </c>
      <c r="H115" s="0" t="n">
        <v>6</v>
      </c>
      <c r="I115" s="16" t="n">
        <f aca="false">F115*H115</f>
        <v>50525.76</v>
      </c>
      <c r="J115" s="17" t="n">
        <f aca="false">IF(I115=0,0,G115/I115)</f>
        <v>0.127698029678326</v>
      </c>
    </row>
    <row r="116" customFormat="false" ht="15" hidden="false" customHeight="false" outlineLevel="0" collapsed="false">
      <c r="A116" s="0" t="n">
        <v>1112</v>
      </c>
      <c r="B116" s="14" t="n">
        <v>45427</v>
      </c>
      <c r="C116" s="15" t="s">
        <v>25</v>
      </c>
      <c r="D116" s="15" t="s">
        <v>42</v>
      </c>
      <c r="E116" s="15" t="s">
        <v>35</v>
      </c>
      <c r="F116" s="16" t="n">
        <v>3736.1</v>
      </c>
      <c r="G116" s="16" t="n">
        <v>8074.29</v>
      </c>
      <c r="H116" s="0" t="n">
        <v>11</v>
      </c>
      <c r="I116" s="16" t="n">
        <f aca="false">F116*H116</f>
        <v>41097.1</v>
      </c>
      <c r="J116" s="17" t="n">
        <f aca="false">IF(I116=0,0,G116/I116)</f>
        <v>0.196468607273993</v>
      </c>
    </row>
    <row r="117" customFormat="false" ht="15" hidden="false" customHeight="false" outlineLevel="0" collapsed="false">
      <c r="A117" s="0" t="n">
        <v>1279</v>
      </c>
      <c r="B117" s="14" t="n">
        <v>45427</v>
      </c>
      <c r="C117" s="15" t="s">
        <v>17</v>
      </c>
      <c r="D117" s="15" t="s">
        <v>69</v>
      </c>
      <c r="E117" s="15" t="s">
        <v>23</v>
      </c>
      <c r="F117" s="16" t="n">
        <v>3696.74</v>
      </c>
      <c r="G117" s="16" t="n">
        <v>9929.61</v>
      </c>
      <c r="H117" s="0" t="n">
        <v>11</v>
      </c>
      <c r="I117" s="16" t="n">
        <f aca="false">F117*H117</f>
        <v>40664.14</v>
      </c>
      <c r="J117" s="17" t="n">
        <f aca="false">IF(I117=0,0,G117/I117)</f>
        <v>0.244185909255673</v>
      </c>
    </row>
    <row r="118" customFormat="false" ht="15" hidden="false" customHeight="false" outlineLevel="0" collapsed="false">
      <c r="A118" s="0" t="n">
        <v>1046</v>
      </c>
      <c r="B118" s="14" t="n">
        <v>45427</v>
      </c>
      <c r="C118" s="15" t="s">
        <v>25</v>
      </c>
      <c r="D118" s="15" t="s">
        <v>32</v>
      </c>
      <c r="E118" s="15" t="s">
        <v>19</v>
      </c>
      <c r="F118" s="16" t="n">
        <v>539.34</v>
      </c>
      <c r="G118" s="16" t="n">
        <v>375.9</v>
      </c>
      <c r="H118" s="0" t="n">
        <v>2</v>
      </c>
      <c r="I118" s="16" t="n">
        <f aca="false">F118*H118</f>
        <v>1078.68</v>
      </c>
      <c r="J118" s="17" t="n">
        <f aca="false">IF(I118=0,0,G118/I118)</f>
        <v>0.348481477361219</v>
      </c>
    </row>
    <row r="119" customFormat="false" ht="15" hidden="false" customHeight="false" outlineLevel="0" collapsed="false">
      <c r="A119" s="0" t="n">
        <v>1124</v>
      </c>
      <c r="B119" s="14" t="n">
        <v>45428</v>
      </c>
      <c r="C119" s="15" t="s">
        <v>25</v>
      </c>
      <c r="D119" s="15" t="s">
        <v>42</v>
      </c>
      <c r="E119" s="15" t="s">
        <v>35</v>
      </c>
      <c r="F119" s="16" t="n">
        <v>1763.36</v>
      </c>
      <c r="G119" s="16" t="n">
        <v>2135.55</v>
      </c>
      <c r="H119" s="0" t="n">
        <v>9</v>
      </c>
      <c r="I119" s="16" t="n">
        <f aca="false">F119*H119</f>
        <v>15870.24</v>
      </c>
      <c r="J119" s="17" t="n">
        <f aca="false">IF(I119=0,0,G119/I119)</f>
        <v>0.13456318240934</v>
      </c>
    </row>
    <row r="120" customFormat="false" ht="15" hidden="false" customHeight="false" outlineLevel="0" collapsed="false">
      <c r="A120" s="0" t="n">
        <v>1265</v>
      </c>
      <c r="B120" s="14" t="n">
        <v>45428</v>
      </c>
      <c r="C120" s="15" t="s">
        <v>37</v>
      </c>
      <c r="D120" s="15" t="s">
        <v>47</v>
      </c>
      <c r="E120" s="15" t="s">
        <v>30</v>
      </c>
      <c r="F120" s="16" t="n">
        <v>4855.23</v>
      </c>
      <c r="G120" s="16" t="n">
        <v>3558.59</v>
      </c>
      <c r="H120" s="0" t="n">
        <v>8</v>
      </c>
      <c r="I120" s="16" t="n">
        <f aca="false">F120*H120</f>
        <v>38841.84</v>
      </c>
      <c r="J120" s="17" t="n">
        <f aca="false">IF(I120=0,0,G120/I120)</f>
        <v>0.0916174413982448</v>
      </c>
    </row>
    <row r="121" customFormat="false" ht="15" hidden="false" customHeight="false" outlineLevel="0" collapsed="false">
      <c r="A121" s="0" t="n">
        <v>1100</v>
      </c>
      <c r="B121" s="14" t="n">
        <v>45430</v>
      </c>
      <c r="C121" s="15" t="s">
        <v>17</v>
      </c>
      <c r="D121" s="15" t="s">
        <v>26</v>
      </c>
      <c r="E121" s="15" t="s">
        <v>19</v>
      </c>
      <c r="F121" s="16" t="n">
        <v>188.27</v>
      </c>
      <c r="G121" s="16" t="n">
        <v>210.99</v>
      </c>
      <c r="H121" s="0" t="n">
        <v>5</v>
      </c>
      <c r="I121" s="16" t="n">
        <f aca="false">F121*H121</f>
        <v>941.35</v>
      </c>
      <c r="J121" s="17" t="n">
        <f aca="false">IF(I121=0,0,G121/I121)</f>
        <v>0.224135550007967</v>
      </c>
    </row>
    <row r="122" customFormat="false" ht="15" hidden="false" customHeight="false" outlineLevel="0" collapsed="false">
      <c r="A122" s="0" t="n">
        <v>1075</v>
      </c>
      <c r="B122" s="14" t="n">
        <v>45432</v>
      </c>
      <c r="C122" s="15" t="s">
        <v>25</v>
      </c>
      <c r="D122" s="15" t="s">
        <v>34</v>
      </c>
      <c r="E122" s="15" t="s">
        <v>35</v>
      </c>
      <c r="F122" s="16" t="n">
        <v>1533.18</v>
      </c>
      <c r="G122" s="16" t="n">
        <v>1647.09</v>
      </c>
      <c r="H122" s="0" t="n">
        <v>8</v>
      </c>
      <c r="I122" s="16" t="n">
        <f aca="false">F122*H122</f>
        <v>12265.44</v>
      </c>
      <c r="J122" s="17" t="n">
        <f aca="false">IF(I122=0,0,G122/I122)</f>
        <v>0.134287070011349</v>
      </c>
    </row>
    <row r="123" customFormat="false" ht="15" hidden="false" customHeight="false" outlineLevel="0" collapsed="false">
      <c r="A123" s="0" t="n">
        <v>1103</v>
      </c>
      <c r="B123" s="14" t="n">
        <v>45432</v>
      </c>
      <c r="C123" s="15" t="s">
        <v>25</v>
      </c>
      <c r="D123" s="15" t="s">
        <v>32</v>
      </c>
      <c r="E123" s="15" t="s">
        <v>19</v>
      </c>
      <c r="F123" s="16" t="n">
        <v>585.86</v>
      </c>
      <c r="G123" s="16" t="n">
        <v>182.01</v>
      </c>
      <c r="H123" s="0" t="n">
        <v>1</v>
      </c>
      <c r="I123" s="16" t="n">
        <f aca="false">F123*H123</f>
        <v>585.86</v>
      </c>
      <c r="J123" s="17" t="n">
        <f aca="false">IF(I123=0,0,G123/I123)</f>
        <v>0.310671491482607</v>
      </c>
    </row>
    <row r="124" customFormat="false" ht="15" hidden="false" customHeight="false" outlineLevel="0" collapsed="false">
      <c r="A124" s="0" t="n">
        <v>1147</v>
      </c>
      <c r="B124" s="14" t="n">
        <v>45432</v>
      </c>
      <c r="C124" s="15" t="s">
        <v>17</v>
      </c>
      <c r="D124" s="15" t="s">
        <v>32</v>
      </c>
      <c r="E124" s="15" t="s">
        <v>19</v>
      </c>
      <c r="F124" s="16" t="n">
        <v>361.26</v>
      </c>
      <c r="G124" s="16" t="n">
        <v>121.8</v>
      </c>
      <c r="H124" s="0" t="n">
        <v>1</v>
      </c>
      <c r="I124" s="16" t="n">
        <f aca="false">F124*H124</f>
        <v>361.26</v>
      </c>
      <c r="J124" s="17" t="n">
        <f aca="false">IF(I124=0,0,G124/I124)</f>
        <v>0.337153296794552</v>
      </c>
    </row>
    <row r="125" customFormat="false" ht="15" hidden="false" customHeight="false" outlineLevel="0" collapsed="false">
      <c r="A125" s="0" t="n">
        <v>1163</v>
      </c>
      <c r="B125" s="14" t="n">
        <v>45433</v>
      </c>
      <c r="C125" s="15" t="s">
        <v>17</v>
      </c>
      <c r="D125" s="15" t="s">
        <v>32</v>
      </c>
      <c r="E125" s="15" t="s">
        <v>19</v>
      </c>
      <c r="F125" s="16" t="n">
        <v>582.51</v>
      </c>
      <c r="G125" s="16" t="n">
        <v>908.25</v>
      </c>
      <c r="H125" s="0" t="n">
        <v>4</v>
      </c>
      <c r="I125" s="16" t="n">
        <f aca="false">F125*H125</f>
        <v>2330.04</v>
      </c>
      <c r="J125" s="17" t="n">
        <f aca="false">IF(I125=0,0,G125/I125)</f>
        <v>0.38980017510429</v>
      </c>
    </row>
    <row r="126" customFormat="false" ht="15" hidden="false" customHeight="false" outlineLevel="0" collapsed="false">
      <c r="A126" s="0" t="n">
        <v>1206</v>
      </c>
      <c r="B126" s="14" t="n">
        <v>45436</v>
      </c>
      <c r="C126" s="15" t="s">
        <v>21</v>
      </c>
      <c r="D126" s="15" t="s">
        <v>53</v>
      </c>
      <c r="E126" s="15" t="s">
        <v>30</v>
      </c>
      <c r="F126" s="16" t="n">
        <v>6383.31</v>
      </c>
      <c r="G126" s="16" t="n">
        <v>5388.97</v>
      </c>
      <c r="H126" s="0" t="n">
        <v>7</v>
      </c>
      <c r="I126" s="16" t="n">
        <f aca="false">F126*H126</f>
        <v>44683.17</v>
      </c>
      <c r="J126" s="17" t="n">
        <f aca="false">IF(I126=0,0,G126/I126)</f>
        <v>0.12060402160366</v>
      </c>
    </row>
    <row r="127" customFormat="false" ht="15" hidden="false" customHeight="false" outlineLevel="0" collapsed="false">
      <c r="A127" s="0" t="n">
        <v>1269</v>
      </c>
      <c r="B127" s="14" t="n">
        <v>45436</v>
      </c>
      <c r="C127" s="15" t="s">
        <v>37</v>
      </c>
      <c r="D127" s="15" t="s">
        <v>32</v>
      </c>
      <c r="E127" s="15" t="s">
        <v>19</v>
      </c>
      <c r="F127" s="16" t="n">
        <v>378.64</v>
      </c>
      <c r="G127" s="16" t="n">
        <v>1116.44</v>
      </c>
      <c r="H127" s="0" t="n">
        <v>8</v>
      </c>
      <c r="I127" s="16" t="n">
        <f aca="false">F127*H127</f>
        <v>3029.12</v>
      </c>
      <c r="J127" s="17" t="n">
        <f aca="false">IF(I127=0,0,G127/I127)</f>
        <v>0.368569089372491</v>
      </c>
    </row>
    <row r="128" customFormat="false" ht="15" hidden="false" customHeight="false" outlineLevel="0" collapsed="false">
      <c r="A128" s="0" t="n">
        <v>1188</v>
      </c>
      <c r="B128" s="14" t="n">
        <v>45437</v>
      </c>
      <c r="C128" s="15" t="s">
        <v>37</v>
      </c>
      <c r="D128" s="15" t="s">
        <v>18</v>
      </c>
      <c r="E128" s="15" t="s">
        <v>19</v>
      </c>
      <c r="F128" s="16" t="n">
        <v>423.17</v>
      </c>
      <c r="G128" s="16" t="n">
        <v>1384.02</v>
      </c>
      <c r="H128" s="0" t="n">
        <v>11</v>
      </c>
      <c r="I128" s="16" t="n">
        <f aca="false">F128*H128</f>
        <v>4654.87</v>
      </c>
      <c r="J128" s="17" t="n">
        <f aca="false">IF(I128=0,0,G128/I128)</f>
        <v>0.297327315263369</v>
      </c>
    </row>
    <row r="129" customFormat="false" ht="15" hidden="false" customHeight="false" outlineLevel="0" collapsed="false">
      <c r="A129" s="0" t="n">
        <v>1148</v>
      </c>
      <c r="B129" s="14" t="n">
        <v>45438</v>
      </c>
      <c r="C129" s="15" t="s">
        <v>17</v>
      </c>
      <c r="D129" s="15" t="s">
        <v>69</v>
      </c>
      <c r="E129" s="15" t="s">
        <v>23</v>
      </c>
      <c r="F129" s="16" t="n">
        <v>3046.14</v>
      </c>
      <c r="G129" s="16" t="n">
        <v>2149.01</v>
      </c>
      <c r="H129" s="0" t="n">
        <v>4</v>
      </c>
      <c r="I129" s="16" t="n">
        <f aca="false">F129*H129</f>
        <v>12184.56</v>
      </c>
      <c r="J129" s="17" t="n">
        <f aca="false">IF(I129=0,0,G129/I129)</f>
        <v>0.176371571890983</v>
      </c>
    </row>
    <row r="130" customFormat="false" ht="15" hidden="false" customHeight="false" outlineLevel="0" collapsed="false">
      <c r="A130" s="0" t="n">
        <v>1293</v>
      </c>
      <c r="B130" s="14" t="n">
        <v>45439</v>
      </c>
      <c r="C130" s="15" t="s">
        <v>25</v>
      </c>
      <c r="D130" s="15" t="s">
        <v>34</v>
      </c>
      <c r="E130" s="15" t="s">
        <v>35</v>
      </c>
      <c r="F130" s="16" t="n">
        <v>2427.29</v>
      </c>
      <c r="G130" s="16" t="n">
        <v>1559.77</v>
      </c>
      <c r="H130" s="0" t="n">
        <v>6</v>
      </c>
      <c r="I130" s="16" t="n">
        <f aca="false">F130*H130</f>
        <v>14563.74</v>
      </c>
      <c r="J130" s="17" t="n">
        <f aca="false">IF(I130=0,0,G130/I130)</f>
        <v>0.107099549978234</v>
      </c>
    </row>
    <row r="131" customFormat="false" ht="15" hidden="false" customHeight="false" outlineLevel="0" collapsed="false">
      <c r="A131" s="0" t="n">
        <v>1288</v>
      </c>
      <c r="B131" s="14" t="n">
        <v>45440</v>
      </c>
      <c r="C131" s="15" t="s">
        <v>25</v>
      </c>
      <c r="D131" s="15" t="s">
        <v>45</v>
      </c>
      <c r="E131" s="15" t="s">
        <v>35</v>
      </c>
      <c r="F131" s="16" t="n">
        <v>2436.81</v>
      </c>
      <c r="G131" s="16" t="n">
        <v>452.51</v>
      </c>
      <c r="H131" s="0" t="n">
        <v>1</v>
      </c>
      <c r="I131" s="16" t="n">
        <f aca="false">F131*H131</f>
        <v>2436.81</v>
      </c>
      <c r="J131" s="17" t="n">
        <f aca="false">IF(I131=0,0,G131/I131)</f>
        <v>0.185697694937234</v>
      </c>
    </row>
    <row r="132" customFormat="false" ht="15" hidden="false" customHeight="false" outlineLevel="0" collapsed="false">
      <c r="A132" s="0" t="n">
        <v>1190</v>
      </c>
      <c r="B132" s="14" t="n">
        <v>45440</v>
      </c>
      <c r="C132" s="15" t="s">
        <v>21</v>
      </c>
      <c r="D132" s="15" t="s">
        <v>29</v>
      </c>
      <c r="E132" s="15" t="s">
        <v>30</v>
      </c>
      <c r="F132" s="16" t="n">
        <v>3639.85</v>
      </c>
      <c r="G132" s="16" t="n">
        <v>3050.62</v>
      </c>
      <c r="H132" s="0" t="n">
        <v>6</v>
      </c>
      <c r="I132" s="16" t="n">
        <f aca="false">F132*H132</f>
        <v>21839.1</v>
      </c>
      <c r="J132" s="17" t="n">
        <f aca="false">IF(I132=0,0,G132/I132)</f>
        <v>0.139686159228173</v>
      </c>
    </row>
    <row r="133" customFormat="false" ht="15" hidden="false" customHeight="false" outlineLevel="0" collapsed="false">
      <c r="A133" s="0" t="n">
        <v>1037</v>
      </c>
      <c r="B133" s="14" t="n">
        <v>45443</v>
      </c>
      <c r="C133" s="15" t="s">
        <v>25</v>
      </c>
      <c r="D133" s="15" t="s">
        <v>42</v>
      </c>
      <c r="E133" s="15" t="s">
        <v>35</v>
      </c>
      <c r="F133" s="16" t="n">
        <v>5365.45</v>
      </c>
      <c r="G133" s="16" t="n">
        <v>3637.81</v>
      </c>
      <c r="H133" s="0" t="n">
        <v>4</v>
      </c>
      <c r="I133" s="16" t="n">
        <f aca="false">F133*H133</f>
        <v>21461.8</v>
      </c>
      <c r="J133" s="17" t="n">
        <f aca="false">IF(I133=0,0,G133/I133)</f>
        <v>0.169501626145058</v>
      </c>
    </row>
    <row r="134" customFormat="false" ht="15" hidden="false" customHeight="false" outlineLevel="0" collapsed="false">
      <c r="A134" s="0" t="n">
        <v>1296</v>
      </c>
      <c r="B134" s="14" t="n">
        <v>45444</v>
      </c>
      <c r="C134" s="15" t="s">
        <v>37</v>
      </c>
      <c r="D134" s="15" t="s">
        <v>32</v>
      </c>
      <c r="E134" s="15" t="s">
        <v>19</v>
      </c>
      <c r="F134" s="16" t="n">
        <v>381.53</v>
      </c>
      <c r="G134" s="16" t="n">
        <v>1471.53</v>
      </c>
      <c r="H134" s="0" t="n">
        <v>10</v>
      </c>
      <c r="I134" s="16" t="n">
        <f aca="false">F134*H134</f>
        <v>3815.3</v>
      </c>
      <c r="J134" s="17" t="n">
        <f aca="false">IF(I134=0,0,G134/I134)</f>
        <v>0.385691819778261</v>
      </c>
    </row>
    <row r="135" customFormat="false" ht="15" hidden="false" customHeight="false" outlineLevel="0" collapsed="false">
      <c r="A135" s="0" t="n">
        <v>1302</v>
      </c>
      <c r="B135" s="14" t="n">
        <v>45446</v>
      </c>
      <c r="C135" s="15" t="s">
        <v>21</v>
      </c>
      <c r="D135" s="15" t="s">
        <v>45</v>
      </c>
      <c r="E135" s="15" t="s">
        <v>35</v>
      </c>
      <c r="F135" s="16" t="n">
        <v>4308.39</v>
      </c>
      <c r="G135" s="16" t="n">
        <v>4367.51</v>
      </c>
      <c r="H135" s="0" t="n">
        <v>10</v>
      </c>
      <c r="I135" s="16" t="n">
        <f aca="false">F135*H135</f>
        <v>43083.9</v>
      </c>
      <c r="J135" s="17" t="n">
        <f aca="false">IF(I135=0,0,G135/I135)</f>
        <v>0.101372206323012</v>
      </c>
    </row>
    <row r="136" customFormat="false" ht="15" hidden="false" customHeight="false" outlineLevel="0" collapsed="false">
      <c r="A136" s="0" t="n">
        <v>1065</v>
      </c>
      <c r="B136" s="14" t="n">
        <v>45447</v>
      </c>
      <c r="C136" s="15" t="s">
        <v>37</v>
      </c>
      <c r="D136" s="15" t="s">
        <v>18</v>
      </c>
      <c r="E136" s="15" t="s">
        <v>19</v>
      </c>
      <c r="F136" s="16" t="n">
        <v>165.6</v>
      </c>
      <c r="G136" s="16" t="n">
        <v>295.72</v>
      </c>
      <c r="H136" s="0" t="n">
        <v>5</v>
      </c>
      <c r="I136" s="16" t="n">
        <f aca="false">F136*H136</f>
        <v>828</v>
      </c>
      <c r="J136" s="17" t="n">
        <f aca="false">IF(I136=0,0,G136/I136)</f>
        <v>0.357149758454106</v>
      </c>
    </row>
    <row r="137" customFormat="false" ht="15" hidden="false" customHeight="false" outlineLevel="0" collapsed="false">
      <c r="A137" s="0" t="n">
        <v>1256</v>
      </c>
      <c r="B137" s="14" t="n">
        <v>45447</v>
      </c>
      <c r="C137" s="15" t="s">
        <v>25</v>
      </c>
      <c r="D137" s="15" t="s">
        <v>69</v>
      </c>
      <c r="E137" s="15" t="s">
        <v>23</v>
      </c>
      <c r="F137" s="16" t="n">
        <v>1399.28</v>
      </c>
      <c r="G137" s="16" t="n">
        <v>1131.56</v>
      </c>
      <c r="H137" s="0" t="n">
        <v>3</v>
      </c>
      <c r="I137" s="16" t="n">
        <f aca="false">F137*H137</f>
        <v>4197.84</v>
      </c>
      <c r="J137" s="17" t="n">
        <f aca="false">IF(I137=0,0,G137/I137)</f>
        <v>0.26955767728165</v>
      </c>
    </row>
    <row r="138" customFormat="false" ht="15" hidden="false" customHeight="false" outlineLevel="0" collapsed="false">
      <c r="A138" s="0" t="n">
        <v>1176</v>
      </c>
      <c r="B138" s="14" t="n">
        <v>45452</v>
      </c>
      <c r="C138" s="15" t="s">
        <v>37</v>
      </c>
      <c r="D138" s="15" t="s">
        <v>34</v>
      </c>
      <c r="E138" s="15" t="s">
        <v>35</v>
      </c>
      <c r="F138" s="16" t="n">
        <v>2543.85</v>
      </c>
      <c r="G138" s="16" t="n">
        <v>2325.35</v>
      </c>
      <c r="H138" s="0" t="n">
        <v>7</v>
      </c>
      <c r="I138" s="16" t="n">
        <f aca="false">F138*H138</f>
        <v>17806.95</v>
      </c>
      <c r="J138" s="17" t="n">
        <f aca="false">IF(I138=0,0,G138/I138)</f>
        <v>0.130586652964152</v>
      </c>
    </row>
    <row r="139" customFormat="false" ht="15" hidden="false" customHeight="false" outlineLevel="0" collapsed="false">
      <c r="A139" s="0" t="n">
        <v>1284</v>
      </c>
      <c r="B139" s="14" t="n">
        <v>45452</v>
      </c>
      <c r="C139" s="15" t="s">
        <v>17</v>
      </c>
      <c r="D139" s="15" t="s">
        <v>34</v>
      </c>
      <c r="E139" s="15" t="s">
        <v>35</v>
      </c>
      <c r="F139" s="16" t="n">
        <v>3176.55</v>
      </c>
      <c r="G139" s="16" t="n">
        <v>1562.63</v>
      </c>
      <c r="H139" s="0" t="n">
        <v>3</v>
      </c>
      <c r="I139" s="16" t="n">
        <f aca="false">F139*H139</f>
        <v>9529.65</v>
      </c>
      <c r="J139" s="17" t="n">
        <f aca="false">IF(I139=0,0,G139/I139)</f>
        <v>0.163975591968225</v>
      </c>
    </row>
    <row r="140" customFormat="false" ht="15" hidden="false" customHeight="false" outlineLevel="0" collapsed="false">
      <c r="A140" s="0" t="n">
        <v>1137</v>
      </c>
      <c r="B140" s="14" t="n">
        <v>45454</v>
      </c>
      <c r="C140" s="15" t="s">
        <v>17</v>
      </c>
      <c r="D140" s="15" t="s">
        <v>60</v>
      </c>
      <c r="E140" s="15" t="s">
        <v>23</v>
      </c>
      <c r="F140" s="16" t="n">
        <v>3459.25</v>
      </c>
      <c r="G140" s="16" t="n">
        <v>9189.66</v>
      </c>
      <c r="H140" s="0" t="n">
        <v>11</v>
      </c>
      <c r="I140" s="16" t="n">
        <f aca="false">F140*H140</f>
        <v>38051.75</v>
      </c>
      <c r="J140" s="17" t="n">
        <f aca="false">IF(I140=0,0,G140/I140)</f>
        <v>0.241504267215043</v>
      </c>
    </row>
    <row r="141" customFormat="false" ht="15" hidden="false" customHeight="false" outlineLevel="0" collapsed="false">
      <c r="A141" s="0" t="n">
        <v>1301</v>
      </c>
      <c r="B141" s="14" t="n">
        <v>45457</v>
      </c>
      <c r="C141" s="15" t="s">
        <v>17</v>
      </c>
      <c r="D141" s="15" t="s">
        <v>29</v>
      </c>
      <c r="E141" s="15" t="s">
        <v>30</v>
      </c>
      <c r="F141" s="16" t="n">
        <v>2564.89</v>
      </c>
      <c r="G141" s="16" t="n">
        <v>1293</v>
      </c>
      <c r="H141" s="0" t="n">
        <v>4</v>
      </c>
      <c r="I141" s="16" t="n">
        <f aca="false">F141*H141</f>
        <v>10259.56</v>
      </c>
      <c r="J141" s="17" t="n">
        <f aca="false">IF(I141=0,0,G141/I141)</f>
        <v>0.126028796556577</v>
      </c>
    </row>
    <row r="142" customFormat="false" ht="15" hidden="false" customHeight="false" outlineLevel="0" collapsed="false">
      <c r="A142" s="0" t="n">
        <v>1185</v>
      </c>
      <c r="B142" s="14" t="n">
        <v>45458</v>
      </c>
      <c r="C142" s="15" t="s">
        <v>21</v>
      </c>
      <c r="D142" s="15" t="s">
        <v>53</v>
      </c>
      <c r="E142" s="15" t="s">
        <v>30</v>
      </c>
      <c r="F142" s="16" t="n">
        <v>8164.13</v>
      </c>
      <c r="G142" s="16" t="n">
        <v>15185.37</v>
      </c>
      <c r="H142" s="0" t="n">
        <v>10</v>
      </c>
      <c r="I142" s="16" t="n">
        <f aca="false">F142*H142</f>
        <v>81641.3</v>
      </c>
      <c r="J142" s="17" t="n">
        <f aca="false">IF(I142=0,0,G142/I142)</f>
        <v>0.186001080335565</v>
      </c>
    </row>
    <row r="143" customFormat="false" ht="15" hidden="false" customHeight="false" outlineLevel="0" collapsed="false">
      <c r="A143" s="0" t="n">
        <v>1207</v>
      </c>
      <c r="B143" s="14" t="n">
        <v>45460</v>
      </c>
      <c r="C143" s="15" t="s">
        <v>37</v>
      </c>
      <c r="D143" s="15" t="s">
        <v>60</v>
      </c>
      <c r="E143" s="15" t="s">
        <v>23</v>
      </c>
      <c r="F143" s="16" t="n">
        <v>2864.46</v>
      </c>
      <c r="G143" s="16" t="n">
        <v>1041.81</v>
      </c>
      <c r="H143" s="0" t="n">
        <v>2</v>
      </c>
      <c r="I143" s="16" t="n">
        <f aca="false">F143*H143</f>
        <v>5728.92</v>
      </c>
      <c r="J143" s="17" t="n">
        <f aca="false">IF(I143=0,0,G143/I143)</f>
        <v>0.181851029513416</v>
      </c>
    </row>
    <row r="144" customFormat="false" ht="15" hidden="false" customHeight="false" outlineLevel="0" collapsed="false">
      <c r="A144" s="0" t="n">
        <v>1166</v>
      </c>
      <c r="B144" s="14" t="n">
        <v>45460</v>
      </c>
      <c r="C144" s="15" t="s">
        <v>25</v>
      </c>
      <c r="D144" s="15" t="s">
        <v>29</v>
      </c>
      <c r="E144" s="15" t="s">
        <v>30</v>
      </c>
      <c r="F144" s="16" t="n">
        <v>9992.12</v>
      </c>
      <c r="G144" s="16" t="n">
        <v>4541.95</v>
      </c>
      <c r="H144" s="0" t="n">
        <v>3</v>
      </c>
      <c r="I144" s="16" t="n">
        <f aca="false">F144*H144</f>
        <v>29976.36</v>
      </c>
      <c r="J144" s="17" t="n">
        <f aca="false">IF(I144=0,0,G144/I144)</f>
        <v>0.151517729304025</v>
      </c>
    </row>
    <row r="145" customFormat="false" ht="15" hidden="false" customHeight="false" outlineLevel="0" collapsed="false">
      <c r="A145" s="0" t="n">
        <v>1054</v>
      </c>
      <c r="B145" s="14" t="n">
        <v>45462</v>
      </c>
      <c r="C145" s="15" t="s">
        <v>25</v>
      </c>
      <c r="D145" s="15" t="s">
        <v>42</v>
      </c>
      <c r="E145" s="15" t="s">
        <v>35</v>
      </c>
      <c r="F145" s="16" t="n">
        <v>4649.61</v>
      </c>
      <c r="G145" s="16" t="n">
        <v>6629.48</v>
      </c>
      <c r="H145" s="0" t="n">
        <v>7</v>
      </c>
      <c r="I145" s="16" t="n">
        <f aca="false">F145*H145</f>
        <v>32547.27</v>
      </c>
      <c r="J145" s="17" t="n">
        <f aca="false">IF(I145=0,0,G145/I145)</f>
        <v>0.203687744010481</v>
      </c>
    </row>
    <row r="146" customFormat="false" ht="15" hidden="false" customHeight="false" outlineLevel="0" collapsed="false">
      <c r="A146" s="0" t="n">
        <v>1299</v>
      </c>
      <c r="B146" s="14" t="n">
        <v>45464</v>
      </c>
      <c r="C146" s="15" t="s">
        <v>37</v>
      </c>
      <c r="D146" s="15" t="s">
        <v>51</v>
      </c>
      <c r="E146" s="15" t="s">
        <v>19</v>
      </c>
      <c r="F146" s="16" t="n">
        <v>362.28</v>
      </c>
      <c r="G146" s="16" t="n">
        <v>636.63</v>
      </c>
      <c r="H146" s="0" t="n">
        <v>5</v>
      </c>
      <c r="I146" s="16" t="n">
        <f aca="false">F146*H146</f>
        <v>1811.4</v>
      </c>
      <c r="J146" s="17" t="n">
        <f aca="false">IF(I146=0,0,G146/I146)</f>
        <v>0.351457436237165</v>
      </c>
    </row>
    <row r="147" customFormat="false" ht="15" hidden="false" customHeight="false" outlineLevel="0" collapsed="false">
      <c r="A147" s="0" t="n">
        <v>1031</v>
      </c>
      <c r="B147" s="14" t="n">
        <v>45465</v>
      </c>
      <c r="C147" s="15" t="s">
        <v>17</v>
      </c>
      <c r="D147" s="15" t="s">
        <v>22</v>
      </c>
      <c r="E147" s="15" t="s">
        <v>23</v>
      </c>
      <c r="F147" s="16" t="n">
        <v>1720.03</v>
      </c>
      <c r="G147" s="16" t="n">
        <v>517.5</v>
      </c>
      <c r="H147" s="0" t="n">
        <v>2</v>
      </c>
      <c r="I147" s="16" t="n">
        <f aca="false">F147*H147</f>
        <v>3440.06</v>
      </c>
      <c r="J147" s="17" t="n">
        <f aca="false">IF(I147=0,0,G147/I147)</f>
        <v>0.15043342267286</v>
      </c>
    </row>
    <row r="148" customFormat="false" ht="15" hidden="false" customHeight="false" outlineLevel="0" collapsed="false">
      <c r="A148" s="0" t="n">
        <v>1263</v>
      </c>
      <c r="B148" s="14" t="n">
        <v>45466</v>
      </c>
      <c r="C148" s="15" t="s">
        <v>25</v>
      </c>
      <c r="D148" s="15" t="s">
        <v>45</v>
      </c>
      <c r="E148" s="15" t="s">
        <v>35</v>
      </c>
      <c r="F148" s="16" t="n">
        <v>1817.78</v>
      </c>
      <c r="G148" s="16" t="n">
        <v>3696.97</v>
      </c>
      <c r="H148" s="0" t="n">
        <v>10</v>
      </c>
      <c r="I148" s="16" t="n">
        <f aca="false">F148*H148</f>
        <v>18177.8</v>
      </c>
      <c r="J148" s="17" t="n">
        <f aca="false">IF(I148=0,0,G148/I148)</f>
        <v>0.203378296603549</v>
      </c>
    </row>
    <row r="149" customFormat="false" ht="15" hidden="false" customHeight="false" outlineLevel="0" collapsed="false">
      <c r="A149" s="0" t="n">
        <v>1060</v>
      </c>
      <c r="B149" s="14" t="n">
        <v>45468</v>
      </c>
      <c r="C149" s="15" t="s">
        <v>17</v>
      </c>
      <c r="D149" s="15" t="s">
        <v>22</v>
      </c>
      <c r="E149" s="15" t="s">
        <v>23</v>
      </c>
      <c r="F149" s="16" t="n">
        <v>3709.78</v>
      </c>
      <c r="G149" s="16" t="n">
        <v>8450.42</v>
      </c>
      <c r="H149" s="0" t="n">
        <v>12</v>
      </c>
      <c r="I149" s="16" t="n">
        <f aca="false">F149*H149</f>
        <v>44517.36</v>
      </c>
      <c r="J149" s="17" t="n">
        <f aca="false">IF(I149=0,0,G149/I149)</f>
        <v>0.189823026342982</v>
      </c>
    </row>
    <row r="150" customFormat="false" ht="15" hidden="false" customHeight="false" outlineLevel="0" collapsed="false">
      <c r="A150" s="0" t="n">
        <v>1131</v>
      </c>
      <c r="B150" s="14" t="n">
        <v>45468</v>
      </c>
      <c r="C150" s="15" t="s">
        <v>17</v>
      </c>
      <c r="D150" s="15" t="s">
        <v>47</v>
      </c>
      <c r="E150" s="15" t="s">
        <v>30</v>
      </c>
      <c r="F150" s="16" t="n">
        <v>7743.22</v>
      </c>
      <c r="G150" s="16" t="n">
        <v>6746.43</v>
      </c>
      <c r="H150" s="0" t="n">
        <v>6</v>
      </c>
      <c r="I150" s="16" t="n">
        <f aca="false">F150*H150</f>
        <v>46459.32</v>
      </c>
      <c r="J150" s="17" t="n">
        <f aca="false">IF(I150=0,0,G150/I150)</f>
        <v>0.145211552816529</v>
      </c>
    </row>
    <row r="151" customFormat="false" ht="15" hidden="false" customHeight="false" outlineLevel="0" collapsed="false">
      <c r="A151" s="0" t="n">
        <v>1231</v>
      </c>
      <c r="B151" s="14" t="n">
        <v>45468</v>
      </c>
      <c r="C151" s="15" t="s">
        <v>37</v>
      </c>
      <c r="D151" s="15" t="s">
        <v>60</v>
      </c>
      <c r="E151" s="15" t="s">
        <v>23</v>
      </c>
      <c r="F151" s="16" t="n">
        <v>3511.88</v>
      </c>
      <c r="G151" s="16" t="n">
        <v>3097.77</v>
      </c>
      <c r="H151" s="0" t="n">
        <v>4</v>
      </c>
      <c r="I151" s="16" t="n">
        <f aca="false">F151*H151</f>
        <v>14047.52</v>
      </c>
      <c r="J151" s="17" t="n">
        <f aca="false">IF(I151=0,0,G151/I151)</f>
        <v>0.22052077519733</v>
      </c>
    </row>
    <row r="152" customFormat="false" ht="15" hidden="false" customHeight="false" outlineLevel="0" collapsed="false">
      <c r="A152" s="0" t="n">
        <v>1044</v>
      </c>
      <c r="B152" s="14" t="n">
        <v>45470</v>
      </c>
      <c r="C152" s="15" t="s">
        <v>25</v>
      </c>
      <c r="D152" s="15" t="s">
        <v>53</v>
      </c>
      <c r="E152" s="15" t="s">
        <v>30</v>
      </c>
      <c r="F152" s="16" t="n">
        <v>10853.07</v>
      </c>
      <c r="G152" s="16" t="n">
        <v>2699.01</v>
      </c>
      <c r="H152" s="0" t="n">
        <v>2</v>
      </c>
      <c r="I152" s="16" t="n">
        <f aca="false">F152*H152</f>
        <v>21706.14</v>
      </c>
      <c r="J152" s="17" t="n">
        <f aca="false">IF(I152=0,0,G152/I152)</f>
        <v>0.124343158203163</v>
      </c>
    </row>
    <row r="153" customFormat="false" ht="15" hidden="false" customHeight="false" outlineLevel="0" collapsed="false">
      <c r="A153" s="0" t="n">
        <v>1197</v>
      </c>
      <c r="B153" s="14" t="n">
        <v>45470</v>
      </c>
      <c r="C153" s="15" t="s">
        <v>25</v>
      </c>
      <c r="D153" s="15" t="s">
        <v>69</v>
      </c>
      <c r="E153" s="15" t="s">
        <v>23</v>
      </c>
      <c r="F153" s="16" t="n">
        <v>3491.3</v>
      </c>
      <c r="G153" s="16" t="n">
        <v>5258.56</v>
      </c>
      <c r="H153" s="0" t="n">
        <v>6</v>
      </c>
      <c r="I153" s="16" t="n">
        <f aca="false">F153*H153</f>
        <v>20947.8</v>
      </c>
      <c r="J153" s="17" t="n">
        <f aca="false">IF(I153=0,0,G153/I153)</f>
        <v>0.251031611911513</v>
      </c>
    </row>
    <row r="154" customFormat="false" ht="15" hidden="false" customHeight="false" outlineLevel="0" collapsed="false">
      <c r="A154" s="0" t="n">
        <v>1079</v>
      </c>
      <c r="B154" s="14" t="n">
        <v>45472</v>
      </c>
      <c r="C154" s="15" t="s">
        <v>37</v>
      </c>
      <c r="D154" s="15" t="s">
        <v>45</v>
      </c>
      <c r="E154" s="15" t="s">
        <v>35</v>
      </c>
      <c r="F154" s="16" t="n">
        <v>4439.94</v>
      </c>
      <c r="G154" s="16" t="n">
        <v>4493.52</v>
      </c>
      <c r="H154" s="0" t="n">
        <v>5</v>
      </c>
      <c r="I154" s="16" t="n">
        <f aca="false">F154*H154</f>
        <v>22199.7</v>
      </c>
      <c r="J154" s="17" t="n">
        <f aca="false">IF(I154=0,0,G154/I154)</f>
        <v>0.202413546129002</v>
      </c>
    </row>
    <row r="155" customFormat="false" ht="15" hidden="false" customHeight="false" outlineLevel="0" collapsed="false">
      <c r="A155" s="0" t="n">
        <v>1232</v>
      </c>
      <c r="B155" s="14" t="n">
        <v>45472</v>
      </c>
      <c r="C155" s="15" t="s">
        <v>37</v>
      </c>
      <c r="D155" s="15" t="s">
        <v>51</v>
      </c>
      <c r="E155" s="15" t="s">
        <v>19</v>
      </c>
      <c r="F155" s="16" t="n">
        <v>236.2</v>
      </c>
      <c r="G155" s="16" t="n">
        <v>698.45</v>
      </c>
      <c r="H155" s="0" t="n">
        <v>9</v>
      </c>
      <c r="I155" s="16" t="n">
        <f aca="false">F155*H155</f>
        <v>2125.8</v>
      </c>
      <c r="J155" s="17" t="n">
        <f aca="false">IF(I155=0,0,G155/I155)</f>
        <v>0.328558660269075</v>
      </c>
    </row>
    <row r="156" customFormat="false" ht="15" hidden="false" customHeight="false" outlineLevel="0" collapsed="false">
      <c r="A156" s="0" t="n">
        <v>1009</v>
      </c>
      <c r="B156" s="14" t="n">
        <v>45473</v>
      </c>
      <c r="C156" s="15" t="s">
        <v>21</v>
      </c>
      <c r="D156" s="15" t="s">
        <v>51</v>
      </c>
      <c r="E156" s="15" t="s">
        <v>19</v>
      </c>
      <c r="F156" s="16" t="n">
        <v>418.6</v>
      </c>
      <c r="G156" s="16" t="n">
        <v>569.91</v>
      </c>
      <c r="H156" s="0" t="n">
        <v>4</v>
      </c>
      <c r="I156" s="16" t="n">
        <f aca="false">F156*H156</f>
        <v>1674.4</v>
      </c>
      <c r="J156" s="17" t="n">
        <f aca="false">IF(I156=0,0,G156/I156)</f>
        <v>0.340366698518872</v>
      </c>
    </row>
    <row r="157" customFormat="false" ht="15" hidden="false" customHeight="false" outlineLevel="0" collapsed="false">
      <c r="A157" s="0" t="n">
        <v>1052</v>
      </c>
      <c r="B157" s="14" t="n">
        <v>45475</v>
      </c>
      <c r="C157" s="15" t="s">
        <v>37</v>
      </c>
      <c r="D157" s="15" t="s">
        <v>26</v>
      </c>
      <c r="E157" s="15" t="s">
        <v>19</v>
      </c>
      <c r="F157" s="16" t="n">
        <v>425.14</v>
      </c>
      <c r="G157" s="16" t="n">
        <v>566.94</v>
      </c>
      <c r="H157" s="0" t="n">
        <v>4</v>
      </c>
      <c r="I157" s="16" t="n">
        <f aca="false">F157*H157</f>
        <v>1700.56</v>
      </c>
      <c r="J157" s="17" t="n">
        <f aca="false">IF(I157=0,0,G157/I157)</f>
        <v>0.333384296937479</v>
      </c>
    </row>
    <row r="158" customFormat="false" ht="15" hidden="false" customHeight="false" outlineLevel="0" collapsed="false">
      <c r="A158" s="0" t="n">
        <v>1168</v>
      </c>
      <c r="B158" s="14" t="n">
        <v>45475</v>
      </c>
      <c r="C158" s="15" t="s">
        <v>37</v>
      </c>
      <c r="D158" s="15" t="s">
        <v>85</v>
      </c>
      <c r="E158" s="15" t="s">
        <v>23</v>
      </c>
      <c r="F158" s="16" t="n">
        <v>2978.76</v>
      </c>
      <c r="G158" s="16" t="n">
        <v>1459.89</v>
      </c>
      <c r="H158" s="0" t="n">
        <v>4</v>
      </c>
      <c r="I158" s="16" t="n">
        <f aca="false">F158*H158</f>
        <v>11915.04</v>
      </c>
      <c r="J158" s="17" t="n">
        <f aca="false">IF(I158=0,0,G158/I158)</f>
        <v>0.122524976835999</v>
      </c>
    </row>
    <row r="159" customFormat="false" ht="15" hidden="false" customHeight="false" outlineLevel="0" collapsed="false">
      <c r="A159" s="0" t="n">
        <v>1014</v>
      </c>
      <c r="B159" s="14" t="n">
        <v>45477</v>
      </c>
      <c r="C159" s="15" t="s">
        <v>17</v>
      </c>
      <c r="D159" s="15" t="s">
        <v>18</v>
      </c>
      <c r="E159" s="15" t="s">
        <v>19</v>
      </c>
      <c r="F159" s="16" t="n">
        <v>598.53</v>
      </c>
      <c r="G159" s="16" t="n">
        <v>545.06</v>
      </c>
      <c r="H159" s="0" t="n">
        <v>4</v>
      </c>
      <c r="I159" s="16" t="n">
        <f aca="false">F159*H159</f>
        <v>2394.12</v>
      </c>
      <c r="J159" s="17" t="n">
        <f aca="false">IF(I159=0,0,G159/I159)</f>
        <v>0.227666115315857</v>
      </c>
    </row>
    <row r="160" customFormat="false" ht="15" hidden="false" customHeight="false" outlineLevel="0" collapsed="false">
      <c r="A160" s="0" t="n">
        <v>1304</v>
      </c>
      <c r="B160" s="14" t="n">
        <v>45480</v>
      </c>
      <c r="C160" s="15" t="s">
        <v>21</v>
      </c>
      <c r="D160" s="15" t="s">
        <v>32</v>
      </c>
      <c r="E160" s="15" t="s">
        <v>19</v>
      </c>
      <c r="F160" s="16" t="n">
        <v>171.47</v>
      </c>
      <c r="G160" s="16" t="n">
        <v>671.26</v>
      </c>
      <c r="H160" s="0" t="n">
        <v>10</v>
      </c>
      <c r="I160" s="16" t="n">
        <f aca="false">F160*H160</f>
        <v>1714.7</v>
      </c>
      <c r="J160" s="17" t="n">
        <f aca="false">IF(I160=0,0,G160/I160)</f>
        <v>0.391473727182598</v>
      </c>
    </row>
    <row r="161" customFormat="false" ht="15" hidden="false" customHeight="false" outlineLevel="0" collapsed="false">
      <c r="A161" s="0" t="n">
        <v>1159</v>
      </c>
      <c r="B161" s="14" t="n">
        <v>45481</v>
      </c>
      <c r="C161" s="15" t="s">
        <v>17</v>
      </c>
      <c r="D161" s="15" t="s">
        <v>47</v>
      </c>
      <c r="E161" s="15" t="s">
        <v>30</v>
      </c>
      <c r="F161" s="16" t="n">
        <v>11519.12</v>
      </c>
      <c r="G161" s="16" t="n">
        <v>20727.03</v>
      </c>
      <c r="H161" s="0" t="n">
        <v>11</v>
      </c>
      <c r="I161" s="16" t="n">
        <f aca="false">F161*H161</f>
        <v>126710.32</v>
      </c>
      <c r="J161" s="17" t="n">
        <f aca="false">IF(I161=0,0,G161/I161)</f>
        <v>0.163578073198773</v>
      </c>
    </row>
    <row r="162" customFormat="false" ht="15" hidden="false" customHeight="false" outlineLevel="0" collapsed="false">
      <c r="A162" s="0" t="n">
        <v>1219</v>
      </c>
      <c r="B162" s="14" t="n">
        <v>45482</v>
      </c>
      <c r="C162" s="15" t="s">
        <v>17</v>
      </c>
      <c r="D162" s="15" t="s">
        <v>32</v>
      </c>
      <c r="E162" s="15" t="s">
        <v>19</v>
      </c>
      <c r="F162" s="16" t="n">
        <v>563.86</v>
      </c>
      <c r="G162" s="16" t="n">
        <v>1736.98</v>
      </c>
      <c r="H162" s="0" t="n">
        <v>9</v>
      </c>
      <c r="I162" s="16" t="n">
        <f aca="false">F162*H162</f>
        <v>5074.74</v>
      </c>
      <c r="J162" s="17" t="n">
        <f aca="false">IF(I162=0,0,G162/I162)</f>
        <v>0.342279604472347</v>
      </c>
    </row>
    <row r="163" customFormat="false" ht="15" hidden="false" customHeight="false" outlineLevel="0" collapsed="false">
      <c r="A163" s="0" t="n">
        <v>1005</v>
      </c>
      <c r="B163" s="14" t="n">
        <v>45486</v>
      </c>
      <c r="C163" s="15" t="s">
        <v>37</v>
      </c>
      <c r="D163" s="15" t="s">
        <v>32</v>
      </c>
      <c r="E163" s="15" t="s">
        <v>19</v>
      </c>
      <c r="F163" s="16" t="n">
        <v>247.44</v>
      </c>
      <c r="G163" s="16" t="n">
        <v>133.02</v>
      </c>
      <c r="H163" s="0" t="n">
        <v>2</v>
      </c>
      <c r="I163" s="16" t="n">
        <f aca="false">F163*H163</f>
        <v>494.88</v>
      </c>
      <c r="J163" s="17" t="n">
        <f aca="false">IF(I163=0,0,G163/I163)</f>
        <v>0.268792434529583</v>
      </c>
    </row>
    <row r="164" customFormat="false" ht="15" hidden="false" customHeight="false" outlineLevel="0" collapsed="false">
      <c r="A164" s="0" t="n">
        <v>1083</v>
      </c>
      <c r="B164" s="14" t="n">
        <v>45486</v>
      </c>
      <c r="C164" s="15" t="s">
        <v>21</v>
      </c>
      <c r="D164" s="15" t="s">
        <v>66</v>
      </c>
      <c r="E164" s="15" t="s">
        <v>30</v>
      </c>
      <c r="F164" s="16" t="n">
        <v>4510.77</v>
      </c>
      <c r="G164" s="16" t="n">
        <v>3226.68</v>
      </c>
      <c r="H164" s="0" t="n">
        <v>6</v>
      </c>
      <c r="I164" s="16" t="n">
        <f aca="false">F164*H164</f>
        <v>27064.62</v>
      </c>
      <c r="J164" s="17" t="n">
        <f aca="false">IF(I164=0,0,G164/I164)</f>
        <v>0.119221330282856</v>
      </c>
    </row>
    <row r="165" customFormat="false" ht="15" hidden="false" customHeight="false" outlineLevel="0" collapsed="false">
      <c r="A165" s="0" t="n">
        <v>1173</v>
      </c>
      <c r="B165" s="14" t="n">
        <v>45487</v>
      </c>
      <c r="C165" s="15" t="s">
        <v>21</v>
      </c>
      <c r="D165" s="15" t="s">
        <v>53</v>
      </c>
      <c r="E165" s="15" t="s">
        <v>30</v>
      </c>
      <c r="F165" s="16" t="n">
        <v>7540.29</v>
      </c>
      <c r="G165" s="16" t="n">
        <v>10137.61</v>
      </c>
      <c r="H165" s="0" t="n">
        <v>10</v>
      </c>
      <c r="I165" s="16" t="n">
        <f aca="false">F165*H165</f>
        <v>75402.9</v>
      </c>
      <c r="J165" s="17" t="n">
        <f aca="false">IF(I165=0,0,G165/I165)</f>
        <v>0.134445890012188</v>
      </c>
    </row>
    <row r="166" customFormat="false" ht="15" hidden="false" customHeight="false" outlineLevel="0" collapsed="false">
      <c r="A166" s="0" t="n">
        <v>1016</v>
      </c>
      <c r="B166" s="14" t="n">
        <v>45489</v>
      </c>
      <c r="C166" s="15" t="s">
        <v>37</v>
      </c>
      <c r="D166" s="15" t="s">
        <v>34</v>
      </c>
      <c r="E166" s="15" t="s">
        <v>35</v>
      </c>
      <c r="F166" s="16" t="n">
        <v>3762.32</v>
      </c>
      <c r="G166" s="16" t="n">
        <v>4112.82</v>
      </c>
      <c r="H166" s="0" t="n">
        <v>7</v>
      </c>
      <c r="I166" s="16" t="n">
        <f aca="false">F166*H166</f>
        <v>26336.24</v>
      </c>
      <c r="J166" s="17" t="n">
        <f aca="false">IF(I166=0,0,G166/I166)</f>
        <v>0.156165800433167</v>
      </c>
    </row>
    <row r="167" customFormat="false" ht="15" hidden="false" customHeight="false" outlineLevel="0" collapsed="false">
      <c r="A167" s="0" t="n">
        <v>1272</v>
      </c>
      <c r="B167" s="14" t="n">
        <v>45489</v>
      </c>
      <c r="C167" s="15" t="s">
        <v>37</v>
      </c>
      <c r="D167" s="15" t="s">
        <v>26</v>
      </c>
      <c r="E167" s="15" t="s">
        <v>19</v>
      </c>
      <c r="F167" s="16" t="n">
        <v>297.69</v>
      </c>
      <c r="G167" s="16" t="n">
        <v>830.48</v>
      </c>
      <c r="H167" s="0" t="n">
        <v>9</v>
      </c>
      <c r="I167" s="16" t="n">
        <f aca="false">F167*H167</f>
        <v>2679.21</v>
      </c>
      <c r="J167" s="17" t="n">
        <f aca="false">IF(I167=0,0,G167/I167)</f>
        <v>0.309971969349174</v>
      </c>
    </row>
    <row r="168" customFormat="false" ht="15" hidden="false" customHeight="false" outlineLevel="0" collapsed="false">
      <c r="A168" s="0" t="n">
        <v>1078</v>
      </c>
      <c r="B168" s="14" t="n">
        <v>45491</v>
      </c>
      <c r="C168" s="15" t="s">
        <v>17</v>
      </c>
      <c r="D168" s="15" t="s">
        <v>85</v>
      </c>
      <c r="E168" s="15" t="s">
        <v>23</v>
      </c>
      <c r="F168" s="16" t="n">
        <v>4300.43</v>
      </c>
      <c r="G168" s="16" t="n">
        <v>5294.91</v>
      </c>
      <c r="H168" s="0" t="n">
        <v>10</v>
      </c>
      <c r="I168" s="16" t="n">
        <f aca="false">F168*H168</f>
        <v>43004.3</v>
      </c>
      <c r="J168" s="17" t="n">
        <f aca="false">IF(I168=0,0,G168/I168)</f>
        <v>0.12312512934753</v>
      </c>
    </row>
    <row r="169" customFormat="false" ht="15" hidden="false" customHeight="false" outlineLevel="0" collapsed="false">
      <c r="A169" s="0" t="n">
        <v>1273</v>
      </c>
      <c r="B169" s="14" t="n">
        <v>45493</v>
      </c>
      <c r="C169" s="15" t="s">
        <v>37</v>
      </c>
      <c r="D169" s="15" t="s">
        <v>85</v>
      </c>
      <c r="E169" s="15" t="s">
        <v>23</v>
      </c>
      <c r="F169" s="16" t="n">
        <v>3741.12</v>
      </c>
      <c r="G169" s="16" t="n">
        <v>3911.42</v>
      </c>
      <c r="H169" s="0" t="n">
        <v>6</v>
      </c>
      <c r="I169" s="16" t="n">
        <f aca="false">F169*H169</f>
        <v>22446.72</v>
      </c>
      <c r="J169" s="17" t="n">
        <f aca="false">IF(I169=0,0,G169/I169)</f>
        <v>0.174253521227155</v>
      </c>
    </row>
    <row r="170" customFormat="false" ht="15" hidden="false" customHeight="false" outlineLevel="0" collapsed="false">
      <c r="A170" s="0" t="n">
        <v>1268</v>
      </c>
      <c r="B170" s="14" t="n">
        <v>45493</v>
      </c>
      <c r="C170" s="15" t="s">
        <v>37</v>
      </c>
      <c r="D170" s="15" t="s">
        <v>42</v>
      </c>
      <c r="E170" s="15" t="s">
        <v>35</v>
      </c>
      <c r="F170" s="16" t="n">
        <v>3166.09</v>
      </c>
      <c r="G170" s="16" t="n">
        <v>3672.62</v>
      </c>
      <c r="H170" s="0" t="n">
        <v>9</v>
      </c>
      <c r="I170" s="16" t="n">
        <f aca="false">F170*H170</f>
        <v>28494.81</v>
      </c>
      <c r="J170" s="17" t="n">
        <f aca="false">IF(I170=0,0,G170/I170)</f>
        <v>0.1288873307104</v>
      </c>
    </row>
    <row r="171" customFormat="false" ht="15" hidden="false" customHeight="false" outlineLevel="0" collapsed="false">
      <c r="A171" s="0" t="n">
        <v>1189</v>
      </c>
      <c r="B171" s="14" t="n">
        <v>45494</v>
      </c>
      <c r="C171" s="15" t="s">
        <v>25</v>
      </c>
      <c r="D171" s="15" t="s">
        <v>32</v>
      </c>
      <c r="E171" s="15" t="s">
        <v>19</v>
      </c>
      <c r="F171" s="16" t="n">
        <v>80.13</v>
      </c>
      <c r="G171" s="16" t="n">
        <v>193.02</v>
      </c>
      <c r="H171" s="0" t="n">
        <v>10</v>
      </c>
      <c r="I171" s="16" t="n">
        <f aca="false">F171*H171</f>
        <v>801.3</v>
      </c>
      <c r="J171" s="17" t="n">
        <f aca="false">IF(I171=0,0,G171/I171)</f>
        <v>0.240883564208162</v>
      </c>
    </row>
    <row r="172" customFormat="false" ht="15" hidden="false" customHeight="false" outlineLevel="0" collapsed="false">
      <c r="A172" s="0" t="n">
        <v>1097</v>
      </c>
      <c r="B172" s="14" t="n">
        <v>45500</v>
      </c>
      <c r="C172" s="15" t="s">
        <v>25</v>
      </c>
      <c r="D172" s="15" t="s">
        <v>66</v>
      </c>
      <c r="E172" s="15" t="s">
        <v>30</v>
      </c>
      <c r="F172" s="16" t="n">
        <v>7774.17</v>
      </c>
      <c r="G172" s="16" t="n">
        <v>6769.06</v>
      </c>
      <c r="H172" s="0" t="n">
        <v>8</v>
      </c>
      <c r="I172" s="16" t="n">
        <f aca="false">F172*H172</f>
        <v>62193.36</v>
      </c>
      <c r="J172" s="17" t="n">
        <f aca="false">IF(I172=0,0,G172/I172)</f>
        <v>0.108838950010098</v>
      </c>
    </row>
    <row r="173" customFormat="false" ht="15" hidden="false" customHeight="false" outlineLevel="0" collapsed="false">
      <c r="A173" s="0" t="n">
        <v>1292</v>
      </c>
      <c r="B173" s="14" t="n">
        <v>45500</v>
      </c>
      <c r="C173" s="15" t="s">
        <v>25</v>
      </c>
      <c r="D173" s="15" t="s">
        <v>66</v>
      </c>
      <c r="E173" s="15" t="s">
        <v>30</v>
      </c>
      <c r="F173" s="16" t="n">
        <v>11382.8</v>
      </c>
      <c r="G173" s="16" t="n">
        <v>23215.08</v>
      </c>
      <c r="H173" s="0" t="n">
        <v>11</v>
      </c>
      <c r="I173" s="16" t="n">
        <f aca="false">F173*H173</f>
        <v>125210.8</v>
      </c>
      <c r="J173" s="17" t="n">
        <f aca="false">IF(I173=0,0,G173/I173)</f>
        <v>0.18540796800276</v>
      </c>
    </row>
    <row r="174" customFormat="false" ht="15" hidden="false" customHeight="false" outlineLevel="0" collapsed="false">
      <c r="A174" s="0" t="n">
        <v>1034</v>
      </c>
      <c r="B174" s="14" t="n">
        <v>45500</v>
      </c>
      <c r="C174" s="15" t="s">
        <v>25</v>
      </c>
      <c r="D174" s="15" t="s">
        <v>85</v>
      </c>
      <c r="E174" s="15" t="s">
        <v>23</v>
      </c>
      <c r="F174" s="16" t="n">
        <v>2581.03</v>
      </c>
      <c r="G174" s="16" t="n">
        <v>5334.35</v>
      </c>
      <c r="H174" s="0" t="n">
        <v>8</v>
      </c>
      <c r="I174" s="16" t="n">
        <f aca="false">F174*H174</f>
        <v>20648.24</v>
      </c>
      <c r="J174" s="17" t="n">
        <f aca="false">IF(I174=0,0,G174/I174)</f>
        <v>0.258344052568161</v>
      </c>
    </row>
    <row r="175" customFormat="false" ht="15" hidden="false" customHeight="false" outlineLevel="0" collapsed="false">
      <c r="A175" s="0" t="n">
        <v>1029</v>
      </c>
      <c r="B175" s="14" t="n">
        <v>45500</v>
      </c>
      <c r="C175" s="15" t="s">
        <v>17</v>
      </c>
      <c r="D175" s="15" t="s">
        <v>42</v>
      </c>
      <c r="E175" s="15" t="s">
        <v>35</v>
      </c>
      <c r="F175" s="16" t="n">
        <v>1605.6</v>
      </c>
      <c r="G175" s="16" t="n">
        <v>1150.11</v>
      </c>
      <c r="H175" s="0" t="n">
        <v>4</v>
      </c>
      <c r="I175" s="16" t="n">
        <f aca="false">F175*H175</f>
        <v>6422.4</v>
      </c>
      <c r="J175" s="17" t="n">
        <f aca="false">IF(I175=0,0,G175/I175)</f>
        <v>0.179077914798206</v>
      </c>
    </row>
    <row r="176" customFormat="false" ht="15" hidden="false" customHeight="false" outlineLevel="0" collapsed="false">
      <c r="A176" s="0" t="n">
        <v>1215</v>
      </c>
      <c r="B176" s="14" t="n">
        <v>45502</v>
      </c>
      <c r="C176" s="15" t="s">
        <v>37</v>
      </c>
      <c r="D176" s="15" t="s">
        <v>47</v>
      </c>
      <c r="E176" s="15" t="s">
        <v>30</v>
      </c>
      <c r="F176" s="16" t="n">
        <v>8925.45</v>
      </c>
      <c r="G176" s="16" t="n">
        <v>5810.66</v>
      </c>
      <c r="H176" s="0" t="n">
        <v>6</v>
      </c>
      <c r="I176" s="16" t="n">
        <f aca="false">F176*H176</f>
        <v>53552.7</v>
      </c>
      <c r="J176" s="17" t="n">
        <f aca="false">IF(I176=0,0,G176/I176)</f>
        <v>0.108503586187064</v>
      </c>
    </row>
    <row r="177" customFormat="false" ht="15" hidden="false" customHeight="false" outlineLevel="0" collapsed="false">
      <c r="A177" s="0" t="n">
        <v>1077</v>
      </c>
      <c r="B177" s="14" t="n">
        <v>45504</v>
      </c>
      <c r="C177" s="15" t="s">
        <v>37</v>
      </c>
      <c r="D177" s="15" t="s">
        <v>29</v>
      </c>
      <c r="E177" s="15" t="s">
        <v>30</v>
      </c>
      <c r="F177" s="16" t="n">
        <v>5643.37</v>
      </c>
      <c r="G177" s="16" t="n">
        <v>5368.97</v>
      </c>
      <c r="H177" s="0" t="n">
        <v>7</v>
      </c>
      <c r="I177" s="16" t="n">
        <f aca="false">F177*H177</f>
        <v>39503.59</v>
      </c>
      <c r="J177" s="17" t="n">
        <f aca="false">IF(I177=0,0,G177/I177)</f>
        <v>0.135910938727341</v>
      </c>
    </row>
    <row r="178" customFormat="false" ht="15" hidden="false" customHeight="false" outlineLevel="0" collapsed="false">
      <c r="A178" s="0" t="n">
        <v>1187</v>
      </c>
      <c r="B178" s="14" t="n">
        <v>45504</v>
      </c>
      <c r="C178" s="15" t="s">
        <v>17</v>
      </c>
      <c r="D178" s="15" t="s">
        <v>34</v>
      </c>
      <c r="E178" s="15" t="s">
        <v>35</v>
      </c>
      <c r="F178" s="16" t="n">
        <v>2126.95</v>
      </c>
      <c r="G178" s="16" t="n">
        <v>1717.32</v>
      </c>
      <c r="H178" s="0" t="n">
        <v>5</v>
      </c>
      <c r="I178" s="16" t="n">
        <f aca="false">F178*H178</f>
        <v>10634.75</v>
      </c>
      <c r="J178" s="17" t="n">
        <f aca="false">IF(I178=0,0,G178/I178)</f>
        <v>0.161481934225064</v>
      </c>
    </row>
    <row r="179" customFormat="false" ht="15" hidden="false" customHeight="false" outlineLevel="0" collapsed="false">
      <c r="A179" s="0" t="n">
        <v>1129</v>
      </c>
      <c r="B179" s="14" t="n">
        <v>45504</v>
      </c>
      <c r="C179" s="15" t="s">
        <v>21</v>
      </c>
      <c r="D179" s="15" t="s">
        <v>66</v>
      </c>
      <c r="E179" s="15" t="s">
        <v>30</v>
      </c>
      <c r="F179" s="16" t="n">
        <v>11375.36</v>
      </c>
      <c r="G179" s="16" t="n">
        <v>9618.68</v>
      </c>
      <c r="H179" s="0" t="n">
        <v>6</v>
      </c>
      <c r="I179" s="16" t="n">
        <f aca="false">F179*H179</f>
        <v>68252.16</v>
      </c>
      <c r="J179" s="17" t="n">
        <f aca="false">IF(I179=0,0,G179/I179)</f>
        <v>0.140928580135779</v>
      </c>
    </row>
    <row r="180" customFormat="false" ht="15" hidden="false" customHeight="false" outlineLevel="0" collapsed="false">
      <c r="A180" s="0" t="n">
        <v>1160</v>
      </c>
      <c r="B180" s="14" t="n">
        <v>45504</v>
      </c>
      <c r="C180" s="15" t="s">
        <v>25</v>
      </c>
      <c r="D180" s="15" t="s">
        <v>34</v>
      </c>
      <c r="E180" s="15" t="s">
        <v>35</v>
      </c>
      <c r="F180" s="16" t="n">
        <v>1625.79</v>
      </c>
      <c r="G180" s="16" t="n">
        <v>2838.53</v>
      </c>
      <c r="H180" s="0" t="n">
        <v>11</v>
      </c>
      <c r="I180" s="16" t="n">
        <f aca="false">F180*H180</f>
        <v>17883.69</v>
      </c>
      <c r="J180" s="17" t="n">
        <f aca="false">IF(I180=0,0,G180/I180)</f>
        <v>0.158721717945234</v>
      </c>
    </row>
    <row r="181" customFormat="false" ht="15" hidden="false" customHeight="false" outlineLevel="0" collapsed="false">
      <c r="A181" s="0" t="n">
        <v>1278</v>
      </c>
      <c r="B181" s="14" t="n">
        <v>45505</v>
      </c>
      <c r="C181" s="15" t="s">
        <v>37</v>
      </c>
      <c r="D181" s="15" t="s">
        <v>26</v>
      </c>
      <c r="E181" s="15" t="s">
        <v>19</v>
      </c>
      <c r="F181" s="16" t="n">
        <v>219.22</v>
      </c>
      <c r="G181" s="16" t="n">
        <v>832.5</v>
      </c>
      <c r="H181" s="0" t="n">
        <v>10</v>
      </c>
      <c r="I181" s="16" t="n">
        <f aca="false">F181*H181</f>
        <v>2192.2</v>
      </c>
      <c r="J181" s="17" t="n">
        <f aca="false">IF(I181=0,0,G181/I181)</f>
        <v>0.379755496761244</v>
      </c>
    </row>
    <row r="182" customFormat="false" ht="15" hidden="false" customHeight="false" outlineLevel="0" collapsed="false">
      <c r="A182" s="0" t="n">
        <v>1282</v>
      </c>
      <c r="B182" s="14" t="n">
        <v>45506</v>
      </c>
      <c r="C182" s="15" t="s">
        <v>21</v>
      </c>
      <c r="D182" s="15" t="s">
        <v>95</v>
      </c>
      <c r="E182" s="15" t="s">
        <v>23</v>
      </c>
      <c r="F182" s="16" t="n">
        <v>2327.95</v>
      </c>
      <c r="G182" s="16" t="n">
        <v>1065.89</v>
      </c>
      <c r="H182" s="0" t="n">
        <v>3</v>
      </c>
      <c r="I182" s="16" t="n">
        <f aca="false">F182*H182</f>
        <v>6983.85</v>
      </c>
      <c r="J182" s="17" t="n">
        <f aca="false">IF(I182=0,0,G182/I182)</f>
        <v>0.152622121036391</v>
      </c>
    </row>
    <row r="183" customFormat="false" ht="15" hidden="false" customHeight="false" outlineLevel="0" collapsed="false">
      <c r="A183" s="0" t="n">
        <v>1169</v>
      </c>
      <c r="B183" s="14" t="n">
        <v>45507</v>
      </c>
      <c r="C183" s="15" t="s">
        <v>25</v>
      </c>
      <c r="D183" s="15" t="s">
        <v>32</v>
      </c>
      <c r="E183" s="15" t="s">
        <v>19</v>
      </c>
      <c r="F183" s="16" t="n">
        <v>112.51</v>
      </c>
      <c r="G183" s="16" t="n">
        <v>215.39</v>
      </c>
      <c r="H183" s="0" t="n">
        <v>9</v>
      </c>
      <c r="I183" s="16" t="n">
        <f aca="false">F183*H183</f>
        <v>1012.59</v>
      </c>
      <c r="J183" s="17" t="n">
        <f aca="false">IF(I183=0,0,G183/I183)</f>
        <v>0.212711956468067</v>
      </c>
    </row>
    <row r="184" customFormat="false" ht="15" hidden="false" customHeight="false" outlineLevel="0" collapsed="false">
      <c r="A184" s="0" t="n">
        <v>1312</v>
      </c>
      <c r="B184" s="14" t="n">
        <v>45508</v>
      </c>
      <c r="C184" s="15" t="s">
        <v>37</v>
      </c>
      <c r="D184" s="15" t="s">
        <v>66</v>
      </c>
      <c r="E184" s="15" t="s">
        <v>30</v>
      </c>
      <c r="F184" s="16" t="n">
        <v>9153.66</v>
      </c>
      <c r="G184" s="16" t="n">
        <v>7960.37</v>
      </c>
      <c r="H184" s="0" t="n">
        <v>6</v>
      </c>
      <c r="I184" s="16" t="n">
        <f aca="false">F184*H184</f>
        <v>54921.96</v>
      </c>
      <c r="J184" s="17" t="n">
        <f aca="false">IF(I184=0,0,G184/I184)</f>
        <v>0.144939656195809</v>
      </c>
    </row>
    <row r="185" customFormat="false" ht="15" hidden="false" customHeight="false" outlineLevel="0" collapsed="false">
      <c r="A185" s="0" t="n">
        <v>1181</v>
      </c>
      <c r="B185" s="14" t="n">
        <v>45511</v>
      </c>
      <c r="C185" s="15" t="s">
        <v>25</v>
      </c>
      <c r="D185" s="15" t="s">
        <v>60</v>
      </c>
      <c r="E185" s="15" t="s">
        <v>23</v>
      </c>
      <c r="F185" s="16" t="n">
        <v>4405.82</v>
      </c>
      <c r="G185" s="16" t="n">
        <v>9950.7</v>
      </c>
      <c r="H185" s="0" t="n">
        <v>9</v>
      </c>
      <c r="I185" s="16" t="n">
        <f aca="false">F185*H185</f>
        <v>39652.38</v>
      </c>
      <c r="J185" s="17" t="n">
        <f aca="false">IF(I185=0,0,G185/I185)</f>
        <v>0.250948366781515</v>
      </c>
    </row>
    <row r="186" customFormat="false" ht="15" hidden="false" customHeight="false" outlineLevel="0" collapsed="false">
      <c r="A186" s="0" t="n">
        <v>1228</v>
      </c>
      <c r="B186" s="14" t="n">
        <v>45511</v>
      </c>
      <c r="C186" s="15" t="s">
        <v>21</v>
      </c>
      <c r="D186" s="15" t="s">
        <v>29</v>
      </c>
      <c r="E186" s="15" t="s">
        <v>30</v>
      </c>
      <c r="F186" s="16" t="n">
        <v>8340.69</v>
      </c>
      <c r="G186" s="16" t="n">
        <v>908.03</v>
      </c>
      <c r="H186" s="0" t="n">
        <v>1</v>
      </c>
      <c r="I186" s="16" t="n">
        <f aca="false">F186*H186</f>
        <v>8340.69</v>
      </c>
      <c r="J186" s="17" t="n">
        <f aca="false">IF(I186=0,0,G186/I186)</f>
        <v>0.108867491778258</v>
      </c>
    </row>
    <row r="187" customFormat="false" ht="15" hidden="false" customHeight="false" outlineLevel="0" collapsed="false">
      <c r="A187" s="0" t="n">
        <v>1018</v>
      </c>
      <c r="B187" s="14" t="n">
        <v>45514</v>
      </c>
      <c r="C187" s="15" t="s">
        <v>21</v>
      </c>
      <c r="D187" s="15" t="s">
        <v>32</v>
      </c>
      <c r="E187" s="15" t="s">
        <v>19</v>
      </c>
      <c r="F187" s="16" t="n">
        <v>299.55</v>
      </c>
      <c r="G187" s="16" t="n">
        <v>351.16</v>
      </c>
      <c r="H187" s="0" t="n">
        <v>3</v>
      </c>
      <c r="I187" s="16" t="n">
        <f aca="false">F187*H187</f>
        <v>898.65</v>
      </c>
      <c r="J187" s="17" t="n">
        <f aca="false">IF(I187=0,0,G187/I187)</f>
        <v>0.390763923663273</v>
      </c>
    </row>
    <row r="188" customFormat="false" ht="15" hidden="false" customHeight="false" outlineLevel="0" collapsed="false">
      <c r="A188" s="0" t="n">
        <v>1092</v>
      </c>
      <c r="B188" s="14" t="n">
        <v>45514</v>
      </c>
      <c r="C188" s="15" t="s">
        <v>25</v>
      </c>
      <c r="D188" s="15" t="s">
        <v>18</v>
      </c>
      <c r="E188" s="15" t="s">
        <v>19</v>
      </c>
      <c r="F188" s="16" t="n">
        <v>453.59</v>
      </c>
      <c r="G188" s="16" t="n">
        <v>534.91</v>
      </c>
      <c r="H188" s="0" t="n">
        <v>3</v>
      </c>
      <c r="I188" s="16" t="n">
        <f aca="false">F188*H188</f>
        <v>1360.77</v>
      </c>
      <c r="J188" s="17" t="n">
        <f aca="false">IF(I188=0,0,G188/I188)</f>
        <v>0.393093616114406</v>
      </c>
    </row>
    <row r="189" customFormat="false" ht="15" hidden="false" customHeight="false" outlineLevel="0" collapsed="false">
      <c r="A189" s="0" t="n">
        <v>1093</v>
      </c>
      <c r="B189" s="14" t="n">
        <v>45515</v>
      </c>
      <c r="C189" s="15" t="s">
        <v>17</v>
      </c>
      <c r="D189" s="15" t="s">
        <v>18</v>
      </c>
      <c r="E189" s="15" t="s">
        <v>19</v>
      </c>
      <c r="F189" s="16" t="n">
        <v>375.86</v>
      </c>
      <c r="G189" s="16" t="n">
        <v>1192.8</v>
      </c>
      <c r="H189" s="0" t="n">
        <v>12</v>
      </c>
      <c r="I189" s="16" t="n">
        <f aca="false">F189*H189</f>
        <v>4510.32</v>
      </c>
      <c r="J189" s="17" t="n">
        <f aca="false">IF(I189=0,0,G189/I189)</f>
        <v>0.264460171340393</v>
      </c>
    </row>
    <row r="190" customFormat="false" ht="15" hidden="false" customHeight="false" outlineLevel="0" collapsed="false">
      <c r="A190" s="0" t="n">
        <v>1025</v>
      </c>
      <c r="B190" s="14" t="n">
        <v>45516</v>
      </c>
      <c r="C190" s="15" t="s">
        <v>21</v>
      </c>
      <c r="D190" s="15" t="s">
        <v>34</v>
      </c>
      <c r="E190" s="15" t="s">
        <v>35</v>
      </c>
      <c r="F190" s="16" t="n">
        <v>3141.39</v>
      </c>
      <c r="G190" s="16" t="n">
        <v>3668.32</v>
      </c>
      <c r="H190" s="0" t="n">
        <v>9</v>
      </c>
      <c r="I190" s="16" t="n">
        <f aca="false">F190*H190</f>
        <v>28272.51</v>
      </c>
      <c r="J190" s="17" t="n">
        <f aca="false">IF(I190=0,0,G190/I190)</f>
        <v>0.129748649836891</v>
      </c>
    </row>
    <row r="191" customFormat="false" ht="15" hidden="false" customHeight="false" outlineLevel="0" collapsed="false">
      <c r="A191" s="0" t="n">
        <v>1237</v>
      </c>
      <c r="B191" s="14" t="n">
        <v>45517</v>
      </c>
      <c r="C191" s="15" t="s">
        <v>17</v>
      </c>
      <c r="D191" s="15" t="s">
        <v>18</v>
      </c>
      <c r="E191" s="15" t="s">
        <v>19</v>
      </c>
      <c r="F191" s="16" t="n">
        <v>236.47</v>
      </c>
      <c r="G191" s="16" t="n">
        <v>392.91</v>
      </c>
      <c r="H191" s="0" t="n">
        <v>7</v>
      </c>
      <c r="I191" s="16" t="n">
        <f aca="false">F191*H191</f>
        <v>1655.29</v>
      </c>
      <c r="J191" s="17" t="n">
        <f aca="false">IF(I191=0,0,G191/I191)</f>
        <v>0.23736626210513</v>
      </c>
    </row>
    <row r="192" customFormat="false" ht="15" hidden="false" customHeight="false" outlineLevel="0" collapsed="false">
      <c r="A192" s="0" t="n">
        <v>1200</v>
      </c>
      <c r="B192" s="14" t="n">
        <v>45517</v>
      </c>
      <c r="C192" s="15" t="s">
        <v>25</v>
      </c>
      <c r="D192" s="15" t="s">
        <v>26</v>
      </c>
      <c r="E192" s="15" t="s">
        <v>19</v>
      </c>
      <c r="F192" s="16" t="n">
        <v>307.91</v>
      </c>
      <c r="G192" s="16" t="n">
        <v>200.93</v>
      </c>
      <c r="H192" s="0" t="n">
        <v>2</v>
      </c>
      <c r="I192" s="16" t="n">
        <f aca="false">F192*H192</f>
        <v>615.82</v>
      </c>
      <c r="J192" s="17" t="n">
        <f aca="false">IF(I192=0,0,G192/I192)</f>
        <v>0.326280406612322</v>
      </c>
    </row>
    <row r="193" customFormat="false" ht="15" hidden="false" customHeight="false" outlineLevel="0" collapsed="false">
      <c r="A193" s="0" t="n">
        <v>1108</v>
      </c>
      <c r="B193" s="14" t="n">
        <v>45518</v>
      </c>
      <c r="C193" s="15" t="s">
        <v>17</v>
      </c>
      <c r="D193" s="15" t="s">
        <v>47</v>
      </c>
      <c r="E193" s="15" t="s">
        <v>30</v>
      </c>
      <c r="F193" s="16" t="n">
        <v>10671.58</v>
      </c>
      <c r="G193" s="16" t="n">
        <v>10607.75</v>
      </c>
      <c r="H193" s="0" t="n">
        <v>5</v>
      </c>
      <c r="I193" s="16" t="n">
        <f aca="false">F193*H193</f>
        <v>53357.9</v>
      </c>
      <c r="J193" s="17" t="n">
        <f aca="false">IF(I193=0,0,G193/I193)</f>
        <v>0.198803738527941</v>
      </c>
    </row>
    <row r="194" customFormat="false" ht="15" hidden="false" customHeight="false" outlineLevel="0" collapsed="false">
      <c r="A194" s="0" t="n">
        <v>1216</v>
      </c>
      <c r="B194" s="14" t="n">
        <v>45521</v>
      </c>
      <c r="C194" s="15" t="s">
        <v>21</v>
      </c>
      <c r="D194" s="15" t="s">
        <v>34</v>
      </c>
      <c r="E194" s="15" t="s">
        <v>35</v>
      </c>
      <c r="F194" s="16" t="n">
        <v>3496.25</v>
      </c>
      <c r="G194" s="16" t="n">
        <v>1917.85</v>
      </c>
      <c r="H194" s="0" t="n">
        <v>4</v>
      </c>
      <c r="I194" s="16" t="n">
        <f aca="false">F194*H194</f>
        <v>13985</v>
      </c>
      <c r="J194" s="17" t="n">
        <f aca="false">IF(I194=0,0,G194/I194)</f>
        <v>0.13713621737576</v>
      </c>
    </row>
    <row r="195" customFormat="false" ht="15" hidden="false" customHeight="false" outlineLevel="0" collapsed="false">
      <c r="A195" s="0" t="n">
        <v>1314</v>
      </c>
      <c r="B195" s="14" t="n">
        <v>45521</v>
      </c>
      <c r="C195" s="15" t="s">
        <v>17</v>
      </c>
      <c r="D195" s="15" t="s">
        <v>45</v>
      </c>
      <c r="E195" s="15" t="s">
        <v>35</v>
      </c>
      <c r="F195" s="16" t="n">
        <v>2815.28</v>
      </c>
      <c r="G195" s="16" t="n">
        <v>3585.24</v>
      </c>
      <c r="H195" s="0" t="n">
        <v>7</v>
      </c>
      <c r="I195" s="16" t="n">
        <f aca="false">F195*H195</f>
        <v>19706.96</v>
      </c>
      <c r="J195" s="17" t="n">
        <f aca="false">IF(I195=0,0,G195/I195)</f>
        <v>0.181927603242712</v>
      </c>
    </row>
    <row r="196" customFormat="false" ht="15" hidden="false" customHeight="false" outlineLevel="0" collapsed="false">
      <c r="A196" s="0" t="n">
        <v>1098</v>
      </c>
      <c r="B196" s="14" t="n">
        <v>45521</v>
      </c>
      <c r="C196" s="15" t="s">
        <v>17</v>
      </c>
      <c r="D196" s="15" t="s">
        <v>34</v>
      </c>
      <c r="E196" s="15" t="s">
        <v>35</v>
      </c>
      <c r="F196" s="16" t="n">
        <v>1600.13</v>
      </c>
      <c r="G196" s="16" t="n">
        <v>202.56</v>
      </c>
      <c r="H196" s="0" t="n">
        <v>1</v>
      </c>
      <c r="I196" s="16" t="n">
        <f aca="false">F196*H196</f>
        <v>1600.13</v>
      </c>
      <c r="J196" s="17" t="n">
        <f aca="false">IF(I196=0,0,G196/I196)</f>
        <v>0.12658971458569</v>
      </c>
    </row>
    <row r="197" customFormat="false" ht="15" hidden="false" customHeight="false" outlineLevel="0" collapsed="false">
      <c r="A197" s="0" t="n">
        <v>1221</v>
      </c>
      <c r="B197" s="14" t="n">
        <v>45522</v>
      </c>
      <c r="C197" s="15" t="s">
        <v>25</v>
      </c>
      <c r="D197" s="15" t="s">
        <v>42</v>
      </c>
      <c r="E197" s="15" t="s">
        <v>35</v>
      </c>
      <c r="F197" s="16" t="n">
        <v>5201.03</v>
      </c>
      <c r="G197" s="16" t="n">
        <v>4674.3</v>
      </c>
      <c r="H197" s="0" t="n">
        <v>6</v>
      </c>
      <c r="I197" s="16" t="n">
        <f aca="false">F197*H197</f>
        <v>31206.18</v>
      </c>
      <c r="J197" s="17" t="n">
        <f aca="false">IF(I197=0,0,G197/I197)</f>
        <v>0.149787638217815</v>
      </c>
    </row>
    <row r="198" customFormat="false" ht="15" hidden="false" customHeight="false" outlineLevel="0" collapsed="false">
      <c r="A198" s="0" t="n">
        <v>1094</v>
      </c>
      <c r="B198" s="14" t="n">
        <v>45522</v>
      </c>
      <c r="C198" s="15" t="s">
        <v>21</v>
      </c>
      <c r="D198" s="15" t="s">
        <v>66</v>
      </c>
      <c r="E198" s="15" t="s">
        <v>30</v>
      </c>
      <c r="F198" s="16" t="n">
        <v>9629.52</v>
      </c>
      <c r="G198" s="16" t="n">
        <v>5715.39</v>
      </c>
      <c r="H198" s="0" t="n">
        <v>4</v>
      </c>
      <c r="I198" s="16" t="n">
        <f aca="false">F198*H198</f>
        <v>38518.08</v>
      </c>
      <c r="J198" s="17" t="n">
        <f aca="false">IF(I198=0,0,G198/I198)</f>
        <v>0.148382006579767</v>
      </c>
    </row>
    <row r="199" customFormat="false" ht="15" hidden="false" customHeight="false" outlineLevel="0" collapsed="false">
      <c r="A199" s="0" t="n">
        <v>1203</v>
      </c>
      <c r="B199" s="14" t="n">
        <v>45522</v>
      </c>
      <c r="C199" s="15" t="s">
        <v>37</v>
      </c>
      <c r="D199" s="15" t="s">
        <v>45</v>
      </c>
      <c r="E199" s="15" t="s">
        <v>35</v>
      </c>
      <c r="F199" s="16" t="n">
        <v>4002.9</v>
      </c>
      <c r="G199" s="16" t="n">
        <v>5547.35</v>
      </c>
      <c r="H199" s="0" t="n">
        <v>10</v>
      </c>
      <c r="I199" s="16" t="n">
        <f aca="false">F199*H199</f>
        <v>40029</v>
      </c>
      <c r="J199" s="17" t="n">
        <f aca="false">IF(I199=0,0,G199/I199)</f>
        <v>0.138583277124085</v>
      </c>
    </row>
    <row r="200" customFormat="false" ht="15" hidden="false" customHeight="false" outlineLevel="0" collapsed="false">
      <c r="A200" s="0" t="n">
        <v>1170</v>
      </c>
      <c r="B200" s="14" t="n">
        <v>45523</v>
      </c>
      <c r="C200" s="15" t="s">
        <v>37</v>
      </c>
      <c r="D200" s="15" t="s">
        <v>45</v>
      </c>
      <c r="E200" s="15" t="s">
        <v>35</v>
      </c>
      <c r="F200" s="16" t="n">
        <v>2152.66</v>
      </c>
      <c r="G200" s="16" t="n">
        <v>3367.44</v>
      </c>
      <c r="H200" s="0" t="n">
        <v>9</v>
      </c>
      <c r="I200" s="16" t="n">
        <f aca="false">F200*H200</f>
        <v>19373.94</v>
      </c>
      <c r="J200" s="17" t="n">
        <f aca="false">IF(I200=0,0,G200/I200)</f>
        <v>0.173812864084435</v>
      </c>
    </row>
    <row r="201" customFormat="false" ht="15" hidden="false" customHeight="false" outlineLevel="0" collapsed="false">
      <c r="A201" s="0" t="n">
        <v>1069</v>
      </c>
      <c r="B201" s="14" t="n">
        <v>45525</v>
      </c>
      <c r="C201" s="15" t="s">
        <v>37</v>
      </c>
      <c r="D201" s="15" t="s">
        <v>34</v>
      </c>
      <c r="E201" s="15" t="s">
        <v>35</v>
      </c>
      <c r="F201" s="16" t="n">
        <v>5010.39</v>
      </c>
      <c r="G201" s="16" t="n">
        <v>5930.12</v>
      </c>
      <c r="H201" s="0" t="n">
        <v>7</v>
      </c>
      <c r="I201" s="16" t="n">
        <f aca="false">F201*H201</f>
        <v>35072.73</v>
      </c>
      <c r="J201" s="17" t="n">
        <f aca="false">IF(I201=0,0,G201/I201)</f>
        <v>0.169080650408451</v>
      </c>
    </row>
    <row r="202" customFormat="false" ht="15" hidden="false" customHeight="false" outlineLevel="0" collapsed="false">
      <c r="A202" s="0" t="n">
        <v>1317</v>
      </c>
      <c r="B202" s="14" t="n">
        <v>45527</v>
      </c>
      <c r="C202" s="15" t="s">
        <v>25</v>
      </c>
      <c r="D202" s="15" t="s">
        <v>42</v>
      </c>
      <c r="E202" s="15" t="s">
        <v>35</v>
      </c>
      <c r="F202" s="16" t="n">
        <v>1867.02</v>
      </c>
      <c r="G202" s="16" t="n">
        <v>1373.58</v>
      </c>
      <c r="H202" s="0" t="n">
        <v>6</v>
      </c>
      <c r="I202" s="16" t="n">
        <f aca="false">F202*H202</f>
        <v>11202.12</v>
      </c>
      <c r="J202" s="17" t="n">
        <f aca="false">IF(I202=0,0,G202/I202)</f>
        <v>0.122617861619051</v>
      </c>
    </row>
    <row r="203" customFormat="false" ht="15" hidden="false" customHeight="false" outlineLevel="0" collapsed="false">
      <c r="A203" s="0" t="n">
        <v>1056</v>
      </c>
      <c r="B203" s="14" t="n">
        <v>45527</v>
      </c>
      <c r="C203" s="15" t="s">
        <v>25</v>
      </c>
      <c r="D203" s="15" t="s">
        <v>42</v>
      </c>
      <c r="E203" s="15" t="s">
        <v>35</v>
      </c>
      <c r="F203" s="16" t="n">
        <v>2512.32</v>
      </c>
      <c r="G203" s="16" t="n">
        <v>2946.07</v>
      </c>
      <c r="H203" s="0" t="n">
        <v>6</v>
      </c>
      <c r="I203" s="16" t="n">
        <f aca="false">F203*H203</f>
        <v>15073.92</v>
      </c>
      <c r="J203" s="17" t="n">
        <f aca="false">IF(I203=0,0,G203/I203)</f>
        <v>0.19544153080287</v>
      </c>
    </row>
    <row r="204" customFormat="false" ht="15" hidden="false" customHeight="false" outlineLevel="0" collapsed="false">
      <c r="A204" s="0" t="n">
        <v>1199</v>
      </c>
      <c r="B204" s="14" t="n">
        <v>45529</v>
      </c>
      <c r="C204" s="15" t="s">
        <v>17</v>
      </c>
      <c r="D204" s="15" t="s">
        <v>85</v>
      </c>
      <c r="E204" s="15" t="s">
        <v>23</v>
      </c>
      <c r="F204" s="16" t="n">
        <v>3611.55</v>
      </c>
      <c r="G204" s="16" t="n">
        <v>6927.85</v>
      </c>
      <c r="H204" s="0" t="n">
        <v>10</v>
      </c>
      <c r="I204" s="16" t="n">
        <f aca="false">F204*H204</f>
        <v>36115.5</v>
      </c>
      <c r="J204" s="17" t="n">
        <f aca="false">IF(I204=0,0,G204/I204)</f>
        <v>0.191824839750246</v>
      </c>
    </row>
    <row r="205" customFormat="false" ht="15" hidden="false" customHeight="false" outlineLevel="0" collapsed="false">
      <c r="A205" s="0" t="n">
        <v>1087</v>
      </c>
      <c r="B205" s="14" t="n">
        <v>45530</v>
      </c>
      <c r="C205" s="15" t="s">
        <v>25</v>
      </c>
      <c r="D205" s="15" t="s">
        <v>69</v>
      </c>
      <c r="E205" s="15" t="s">
        <v>23</v>
      </c>
      <c r="F205" s="16" t="n">
        <v>1748.1</v>
      </c>
      <c r="G205" s="16" t="n">
        <v>3755.41</v>
      </c>
      <c r="H205" s="0" t="n">
        <v>12</v>
      </c>
      <c r="I205" s="16" t="n">
        <f aca="false">F205*H205</f>
        <v>20977.2</v>
      </c>
      <c r="J205" s="17" t="n">
        <f aca="false">IF(I205=0,0,G205/I205)</f>
        <v>0.179023415899167</v>
      </c>
    </row>
    <row r="206" customFormat="false" ht="15" hidden="false" customHeight="false" outlineLevel="0" collapsed="false">
      <c r="A206" s="0" t="n">
        <v>1030</v>
      </c>
      <c r="B206" s="14" t="n">
        <v>45531</v>
      </c>
      <c r="C206" s="15" t="s">
        <v>17</v>
      </c>
      <c r="D206" s="15" t="s">
        <v>18</v>
      </c>
      <c r="E206" s="15" t="s">
        <v>19</v>
      </c>
      <c r="F206" s="16" t="n">
        <v>79.79</v>
      </c>
      <c r="G206" s="16" t="n">
        <v>316.63</v>
      </c>
      <c r="H206" s="0" t="n">
        <v>12</v>
      </c>
      <c r="I206" s="16" t="n">
        <f aca="false">F206*H206</f>
        <v>957.48</v>
      </c>
      <c r="J206" s="17" t="n">
        <f aca="false">IF(I206=0,0,G206/I206)</f>
        <v>0.330690980490454</v>
      </c>
    </row>
    <row r="207" customFormat="false" ht="15" hidden="false" customHeight="false" outlineLevel="0" collapsed="false">
      <c r="A207" s="0" t="n">
        <v>1115</v>
      </c>
      <c r="B207" s="14" t="n">
        <v>45531</v>
      </c>
      <c r="C207" s="15" t="s">
        <v>37</v>
      </c>
      <c r="D207" s="15" t="s">
        <v>18</v>
      </c>
      <c r="E207" s="15" t="s">
        <v>19</v>
      </c>
      <c r="F207" s="16" t="n">
        <v>217.25</v>
      </c>
      <c r="G207" s="16" t="n">
        <v>731.27</v>
      </c>
      <c r="H207" s="0" t="n">
        <v>12</v>
      </c>
      <c r="I207" s="16" t="n">
        <f aca="false">F207*H207</f>
        <v>2607</v>
      </c>
      <c r="J207" s="17" t="n">
        <f aca="false">IF(I207=0,0,G207/I207)</f>
        <v>0.280502493287303</v>
      </c>
    </row>
    <row r="208" customFormat="false" ht="15" hidden="false" customHeight="false" outlineLevel="0" collapsed="false">
      <c r="A208" s="0" t="n">
        <v>1133</v>
      </c>
      <c r="B208" s="14" t="n">
        <v>45534</v>
      </c>
      <c r="C208" s="15" t="s">
        <v>21</v>
      </c>
      <c r="D208" s="15" t="s">
        <v>42</v>
      </c>
      <c r="E208" s="15" t="s">
        <v>35</v>
      </c>
      <c r="F208" s="16" t="n">
        <v>5127.75</v>
      </c>
      <c r="G208" s="16" t="n">
        <v>8968.3</v>
      </c>
      <c r="H208" s="0" t="n">
        <v>12</v>
      </c>
      <c r="I208" s="16" t="n">
        <f aca="false">F208*H208</f>
        <v>61533</v>
      </c>
      <c r="J208" s="17" t="n">
        <f aca="false">IF(I208=0,0,G208/I208)</f>
        <v>0.145747810118148</v>
      </c>
    </row>
    <row r="209" customFormat="false" ht="15" hidden="false" customHeight="false" outlineLevel="0" collapsed="false">
      <c r="A209" s="0" t="n">
        <v>1275</v>
      </c>
      <c r="B209" s="14" t="n">
        <v>45534</v>
      </c>
      <c r="C209" s="15" t="s">
        <v>21</v>
      </c>
      <c r="D209" s="15" t="s">
        <v>85</v>
      </c>
      <c r="E209" s="15" t="s">
        <v>23</v>
      </c>
      <c r="F209" s="16" t="n">
        <v>2490.86</v>
      </c>
      <c r="G209" s="16" t="n">
        <v>4864.69</v>
      </c>
      <c r="H209" s="0" t="n">
        <v>9</v>
      </c>
      <c r="I209" s="16" t="n">
        <f aca="false">F209*H209</f>
        <v>22417.74</v>
      </c>
      <c r="J209" s="17" t="n">
        <f aca="false">IF(I209=0,0,G209/I209)</f>
        <v>0.217001803036345</v>
      </c>
    </row>
    <row r="210" customFormat="false" ht="15" hidden="false" customHeight="false" outlineLevel="0" collapsed="false">
      <c r="A210" s="0" t="n">
        <v>1099</v>
      </c>
      <c r="B210" s="14" t="n">
        <v>45534</v>
      </c>
      <c r="C210" s="15" t="s">
        <v>21</v>
      </c>
      <c r="D210" s="15" t="s">
        <v>53</v>
      </c>
      <c r="E210" s="15" t="s">
        <v>30</v>
      </c>
      <c r="F210" s="16" t="n">
        <v>7543.76</v>
      </c>
      <c r="G210" s="16" t="n">
        <v>8898.2</v>
      </c>
      <c r="H210" s="0" t="n">
        <v>9</v>
      </c>
      <c r="I210" s="16" t="n">
        <f aca="false">F210*H210</f>
        <v>67893.84</v>
      </c>
      <c r="J210" s="17" t="n">
        <f aca="false">IF(I210=0,0,G210/I210)</f>
        <v>0.13106049090757</v>
      </c>
    </row>
    <row r="211" customFormat="false" ht="15" hidden="false" customHeight="false" outlineLevel="0" collapsed="false">
      <c r="A211" s="0" t="n">
        <v>1289</v>
      </c>
      <c r="B211" s="14" t="n">
        <v>45537</v>
      </c>
      <c r="C211" s="15" t="s">
        <v>21</v>
      </c>
      <c r="D211" s="15" t="s">
        <v>18</v>
      </c>
      <c r="E211" s="15" t="s">
        <v>19</v>
      </c>
      <c r="F211" s="16" t="n">
        <v>161.14</v>
      </c>
      <c r="G211" s="16" t="n">
        <v>198.34</v>
      </c>
      <c r="H211" s="0" t="n">
        <v>4</v>
      </c>
      <c r="I211" s="16" t="n">
        <f aca="false">F211*H211</f>
        <v>644.56</v>
      </c>
      <c r="J211" s="17" t="n">
        <f aca="false">IF(I211=0,0,G211/I211)</f>
        <v>0.307713789251583</v>
      </c>
    </row>
    <row r="212" customFormat="false" ht="15" hidden="false" customHeight="false" outlineLevel="0" collapsed="false">
      <c r="A212" s="0" t="n">
        <v>1080</v>
      </c>
      <c r="B212" s="14" t="n">
        <v>45541</v>
      </c>
      <c r="C212" s="15" t="s">
        <v>25</v>
      </c>
      <c r="D212" s="15" t="s">
        <v>34</v>
      </c>
      <c r="E212" s="15" t="s">
        <v>35</v>
      </c>
      <c r="F212" s="16" t="n">
        <v>2373.62</v>
      </c>
      <c r="G212" s="16" t="n">
        <v>1502.76</v>
      </c>
      <c r="H212" s="0" t="n">
        <v>4</v>
      </c>
      <c r="I212" s="16" t="n">
        <f aca="false">F212*H212</f>
        <v>9494.48</v>
      </c>
      <c r="J212" s="17" t="n">
        <f aca="false">IF(I212=0,0,G212/I212)</f>
        <v>0.15827723055923</v>
      </c>
    </row>
    <row r="213" customFormat="false" ht="15" hidden="false" customHeight="false" outlineLevel="0" collapsed="false">
      <c r="A213" s="0" t="n">
        <v>1021</v>
      </c>
      <c r="B213" s="14" t="n">
        <v>45542</v>
      </c>
      <c r="C213" s="15" t="s">
        <v>21</v>
      </c>
      <c r="D213" s="15" t="s">
        <v>69</v>
      </c>
      <c r="E213" s="15" t="s">
        <v>23</v>
      </c>
      <c r="F213" s="16" t="n">
        <v>1213.91</v>
      </c>
      <c r="G213" s="16" t="n">
        <v>216.17</v>
      </c>
      <c r="H213" s="0" t="n">
        <v>1</v>
      </c>
      <c r="I213" s="16" t="n">
        <f aca="false">F213*H213</f>
        <v>1213.91</v>
      </c>
      <c r="J213" s="17" t="n">
        <f aca="false">IF(I213=0,0,G213/I213)</f>
        <v>0.178077452199916</v>
      </c>
    </row>
    <row r="214" customFormat="false" ht="15" hidden="false" customHeight="false" outlineLevel="0" collapsed="false">
      <c r="A214" s="0" t="n">
        <v>1158</v>
      </c>
      <c r="B214" s="14" t="n">
        <v>45544</v>
      </c>
      <c r="C214" s="15" t="s">
        <v>21</v>
      </c>
      <c r="D214" s="15" t="s">
        <v>22</v>
      </c>
      <c r="E214" s="15" t="s">
        <v>23</v>
      </c>
      <c r="F214" s="16" t="n">
        <v>1159.61</v>
      </c>
      <c r="G214" s="16" t="n">
        <v>607.55</v>
      </c>
      <c r="H214" s="0" t="n">
        <v>2</v>
      </c>
      <c r="I214" s="16" t="n">
        <f aca="false">F214*H214</f>
        <v>2319.22</v>
      </c>
      <c r="J214" s="17" t="n">
        <f aca="false">IF(I214=0,0,G214/I214)</f>
        <v>0.261963073792051</v>
      </c>
    </row>
    <row r="215" customFormat="false" ht="15" hidden="false" customHeight="false" outlineLevel="0" collapsed="false">
      <c r="A215" s="0" t="n">
        <v>1095</v>
      </c>
      <c r="B215" s="14" t="n">
        <v>45545</v>
      </c>
      <c r="C215" s="15" t="s">
        <v>37</v>
      </c>
      <c r="D215" s="15" t="s">
        <v>45</v>
      </c>
      <c r="E215" s="15" t="s">
        <v>35</v>
      </c>
      <c r="F215" s="16" t="n">
        <v>1981.91</v>
      </c>
      <c r="G215" s="16" t="n">
        <v>1491.84</v>
      </c>
      <c r="H215" s="0" t="n">
        <v>6</v>
      </c>
      <c r="I215" s="16" t="n">
        <f aca="false">F215*H215</f>
        <v>11891.46</v>
      </c>
      <c r="J215" s="17" t="n">
        <f aca="false">IF(I215=0,0,G215/I215)</f>
        <v>0.12545473810617</v>
      </c>
    </row>
    <row r="216" customFormat="false" ht="15" hidden="false" customHeight="false" outlineLevel="0" collapsed="false">
      <c r="A216" s="0" t="n">
        <v>1127</v>
      </c>
      <c r="B216" s="14" t="n">
        <v>45547</v>
      </c>
      <c r="C216" s="15" t="s">
        <v>25</v>
      </c>
      <c r="D216" s="15" t="s">
        <v>42</v>
      </c>
      <c r="E216" s="15" t="s">
        <v>35</v>
      </c>
      <c r="F216" s="16" t="n">
        <v>2455</v>
      </c>
      <c r="G216" s="16" t="n">
        <v>5439.77</v>
      </c>
      <c r="H216" s="0" t="n">
        <v>12</v>
      </c>
      <c r="I216" s="16" t="n">
        <f aca="false">F216*H216</f>
        <v>29460</v>
      </c>
      <c r="J216" s="17" t="n">
        <f aca="false">IF(I216=0,0,G216/I216)</f>
        <v>0.184649355057705</v>
      </c>
    </row>
    <row r="217" customFormat="false" ht="15" hidden="false" customHeight="false" outlineLevel="0" collapsed="false">
      <c r="A217" s="0" t="n">
        <v>1227</v>
      </c>
      <c r="B217" s="14" t="n">
        <v>45547</v>
      </c>
      <c r="C217" s="15" t="s">
        <v>37</v>
      </c>
      <c r="D217" s="15" t="s">
        <v>42</v>
      </c>
      <c r="E217" s="15" t="s">
        <v>35</v>
      </c>
      <c r="F217" s="16" t="n">
        <v>3505.03</v>
      </c>
      <c r="G217" s="16" t="n">
        <v>6163.06</v>
      </c>
      <c r="H217" s="0" t="n">
        <v>10</v>
      </c>
      <c r="I217" s="16" t="n">
        <f aca="false">F217*H217</f>
        <v>35050.3</v>
      </c>
      <c r="J217" s="17" t="n">
        <f aca="false">IF(I217=0,0,G217/I217)</f>
        <v>0.175834728946685</v>
      </c>
    </row>
    <row r="218" customFormat="false" ht="15" hidden="false" customHeight="false" outlineLevel="0" collapsed="false">
      <c r="A218" s="0" t="n">
        <v>1267</v>
      </c>
      <c r="B218" s="14" t="n">
        <v>45547</v>
      </c>
      <c r="C218" s="15" t="s">
        <v>25</v>
      </c>
      <c r="D218" s="15" t="s">
        <v>51</v>
      </c>
      <c r="E218" s="15" t="s">
        <v>19</v>
      </c>
      <c r="F218" s="16" t="n">
        <v>306.75</v>
      </c>
      <c r="G218" s="16" t="n">
        <v>1037.53</v>
      </c>
      <c r="H218" s="0" t="n">
        <v>9</v>
      </c>
      <c r="I218" s="16" t="n">
        <f aca="false">F218*H218</f>
        <v>2760.75</v>
      </c>
      <c r="J218" s="17" t="n">
        <f aca="false">IF(I218=0,0,G218/I218)</f>
        <v>0.375814543149506</v>
      </c>
    </row>
    <row r="219" customFormat="false" ht="15" hidden="false" customHeight="false" outlineLevel="0" collapsed="false">
      <c r="A219" s="0" t="n">
        <v>1201</v>
      </c>
      <c r="B219" s="14" t="n">
        <v>45551</v>
      </c>
      <c r="C219" s="15" t="s">
        <v>21</v>
      </c>
      <c r="D219" s="15" t="s">
        <v>32</v>
      </c>
      <c r="E219" s="15" t="s">
        <v>19</v>
      </c>
      <c r="F219" s="16" t="n">
        <v>220.72</v>
      </c>
      <c r="G219" s="16" t="n">
        <v>128.19</v>
      </c>
      <c r="H219" s="0" t="n">
        <v>2</v>
      </c>
      <c r="I219" s="16" t="n">
        <f aca="false">F219*H219</f>
        <v>441.44</v>
      </c>
      <c r="J219" s="17" t="n">
        <f aca="false">IF(I219=0,0,G219/I219)</f>
        <v>0.290390540050743</v>
      </c>
    </row>
    <row r="220" customFormat="false" ht="15" hidden="false" customHeight="false" outlineLevel="0" collapsed="false">
      <c r="A220" s="0" t="n">
        <v>1310</v>
      </c>
      <c r="B220" s="14" t="n">
        <v>45554</v>
      </c>
      <c r="C220" s="15" t="s">
        <v>25</v>
      </c>
      <c r="D220" s="15" t="s">
        <v>95</v>
      </c>
      <c r="E220" s="15" t="s">
        <v>23</v>
      </c>
      <c r="F220" s="16" t="n">
        <v>2490.15</v>
      </c>
      <c r="G220" s="16" t="n">
        <v>2252.75</v>
      </c>
      <c r="H220" s="0" t="n">
        <v>7</v>
      </c>
      <c r="I220" s="16" t="n">
        <f aca="false">F220*H220</f>
        <v>17431.05</v>
      </c>
      <c r="J220" s="17" t="n">
        <f aca="false">IF(I220=0,0,G220/I220)</f>
        <v>0.129237768235419</v>
      </c>
    </row>
    <row r="221" customFormat="false" ht="15" hidden="false" customHeight="false" outlineLevel="0" collapsed="false">
      <c r="A221" s="0" t="n">
        <v>1067</v>
      </c>
      <c r="B221" s="14" t="n">
        <v>45555</v>
      </c>
      <c r="C221" s="15" t="s">
        <v>21</v>
      </c>
      <c r="D221" s="15" t="s">
        <v>66</v>
      </c>
      <c r="E221" s="15" t="s">
        <v>30</v>
      </c>
      <c r="F221" s="16" t="n">
        <v>8512.94</v>
      </c>
      <c r="G221" s="16" t="n">
        <v>11257.92</v>
      </c>
      <c r="H221" s="0" t="n">
        <v>11</v>
      </c>
      <c r="I221" s="16" t="n">
        <f aca="false">F221*H221</f>
        <v>93642.34</v>
      </c>
      <c r="J221" s="17" t="n">
        <f aca="false">IF(I221=0,0,G221/I221)</f>
        <v>0.120222540359414</v>
      </c>
    </row>
    <row r="222" customFormat="false" ht="15" hidden="false" customHeight="false" outlineLevel="0" collapsed="false">
      <c r="A222" s="0" t="n">
        <v>1300</v>
      </c>
      <c r="B222" s="14" t="n">
        <v>45555</v>
      </c>
      <c r="C222" s="15" t="s">
        <v>17</v>
      </c>
      <c r="D222" s="15" t="s">
        <v>47</v>
      </c>
      <c r="E222" s="15" t="s">
        <v>30</v>
      </c>
      <c r="F222" s="16" t="n">
        <v>3324.01</v>
      </c>
      <c r="G222" s="16" t="n">
        <v>3197.25</v>
      </c>
      <c r="H222" s="0" t="n">
        <v>6</v>
      </c>
      <c r="I222" s="16" t="n">
        <f aca="false">F222*H222</f>
        <v>19944.06</v>
      </c>
      <c r="J222" s="17" t="n">
        <f aca="false">IF(I222=0,0,G222/I222)</f>
        <v>0.160310889558094</v>
      </c>
    </row>
    <row r="223" customFormat="false" ht="15" hidden="false" customHeight="false" outlineLevel="0" collapsed="false">
      <c r="A223" s="0" t="n">
        <v>1122</v>
      </c>
      <c r="B223" s="14" t="n">
        <v>45555</v>
      </c>
      <c r="C223" s="15" t="s">
        <v>17</v>
      </c>
      <c r="D223" s="15" t="s">
        <v>32</v>
      </c>
      <c r="E223" s="15" t="s">
        <v>19</v>
      </c>
      <c r="F223" s="16" t="n">
        <v>411.71</v>
      </c>
      <c r="G223" s="16" t="n">
        <v>127.02</v>
      </c>
      <c r="H223" s="0" t="n">
        <v>1</v>
      </c>
      <c r="I223" s="16" t="n">
        <f aca="false">F223*H223</f>
        <v>411.71</v>
      </c>
      <c r="J223" s="17" t="n">
        <f aca="false">IF(I223=0,0,G223/I223)</f>
        <v>0.308518131694639</v>
      </c>
    </row>
    <row r="224" customFormat="false" ht="15" hidden="false" customHeight="false" outlineLevel="0" collapsed="false">
      <c r="A224" s="0" t="n">
        <v>1123</v>
      </c>
      <c r="B224" s="14" t="n">
        <v>45557</v>
      </c>
      <c r="C224" s="15" t="s">
        <v>25</v>
      </c>
      <c r="D224" s="15" t="s">
        <v>42</v>
      </c>
      <c r="E224" s="15" t="s">
        <v>35</v>
      </c>
      <c r="F224" s="16" t="n">
        <v>3877.33</v>
      </c>
      <c r="G224" s="16" t="n">
        <v>3718.03</v>
      </c>
      <c r="H224" s="0" t="n">
        <v>6</v>
      </c>
      <c r="I224" s="16" t="n">
        <f aca="false">F224*H224</f>
        <v>23263.98</v>
      </c>
      <c r="J224" s="17" t="n">
        <f aca="false">IF(I224=0,0,G224/I224)</f>
        <v>0.159819171096261</v>
      </c>
    </row>
    <row r="225" customFormat="false" ht="15" hidden="false" customHeight="false" outlineLevel="0" collapsed="false">
      <c r="A225" s="0" t="n">
        <v>1229</v>
      </c>
      <c r="B225" s="14" t="n">
        <v>45560</v>
      </c>
      <c r="C225" s="15" t="s">
        <v>37</v>
      </c>
      <c r="D225" s="15" t="s">
        <v>42</v>
      </c>
      <c r="E225" s="15" t="s">
        <v>35</v>
      </c>
      <c r="F225" s="16" t="n">
        <v>1491.02</v>
      </c>
      <c r="G225" s="16" t="n">
        <v>1459.35</v>
      </c>
      <c r="H225" s="0" t="n">
        <v>6</v>
      </c>
      <c r="I225" s="16" t="n">
        <f aca="false">F225*H225</f>
        <v>8946.12</v>
      </c>
      <c r="J225" s="17" t="n">
        <f aca="false">IF(I225=0,0,G225/I225)</f>
        <v>0.163126584485788</v>
      </c>
    </row>
    <row r="226" customFormat="false" ht="15" hidden="false" customHeight="false" outlineLevel="0" collapsed="false">
      <c r="A226" s="0" t="n">
        <v>1135</v>
      </c>
      <c r="B226" s="14" t="n">
        <v>45561</v>
      </c>
      <c r="C226" s="15" t="s">
        <v>37</v>
      </c>
      <c r="D226" s="15" t="s">
        <v>95</v>
      </c>
      <c r="E226" s="15" t="s">
        <v>23</v>
      </c>
      <c r="F226" s="16" t="n">
        <v>856.79</v>
      </c>
      <c r="G226" s="16" t="n">
        <v>980.61</v>
      </c>
      <c r="H226" s="0" t="n">
        <v>8</v>
      </c>
      <c r="I226" s="16" t="n">
        <f aca="false">F226*H226</f>
        <v>6854.32</v>
      </c>
      <c r="J226" s="17" t="n">
        <f aca="false">IF(I226=0,0,G226/I226)</f>
        <v>0.143064519894023</v>
      </c>
    </row>
    <row r="227" customFormat="false" ht="15" hidden="false" customHeight="false" outlineLevel="0" collapsed="false">
      <c r="A227" s="0" t="n">
        <v>1253</v>
      </c>
      <c r="B227" s="14" t="n">
        <v>45561</v>
      </c>
      <c r="C227" s="15" t="s">
        <v>17</v>
      </c>
      <c r="D227" s="15" t="s">
        <v>18</v>
      </c>
      <c r="E227" s="15" t="s">
        <v>19</v>
      </c>
      <c r="F227" s="16" t="n">
        <v>473.04</v>
      </c>
      <c r="G227" s="16" t="n">
        <v>1207.52</v>
      </c>
      <c r="H227" s="0" t="n">
        <v>7</v>
      </c>
      <c r="I227" s="16" t="n">
        <f aca="false">F227*H227</f>
        <v>3311.28</v>
      </c>
      <c r="J227" s="17" t="n">
        <f aca="false">IF(I227=0,0,G227/I227)</f>
        <v>0.364668647773671</v>
      </c>
    </row>
    <row r="228" customFormat="false" ht="15" hidden="false" customHeight="false" outlineLevel="0" collapsed="false">
      <c r="A228" s="0" t="n">
        <v>1307</v>
      </c>
      <c r="B228" s="14" t="n">
        <v>45562</v>
      </c>
      <c r="C228" s="15" t="s">
        <v>17</v>
      </c>
      <c r="D228" s="15" t="s">
        <v>69</v>
      </c>
      <c r="E228" s="15" t="s">
        <v>23</v>
      </c>
      <c r="F228" s="16" t="n">
        <v>2138.6</v>
      </c>
      <c r="G228" s="16" t="n">
        <v>6845.89</v>
      </c>
      <c r="H228" s="0" t="n">
        <v>12</v>
      </c>
      <c r="I228" s="16" t="n">
        <f aca="false">F228*H228</f>
        <v>25663.2</v>
      </c>
      <c r="J228" s="17" t="n">
        <f aca="false">IF(I228=0,0,G228/I228)</f>
        <v>0.266759016802269</v>
      </c>
    </row>
    <row r="229" customFormat="false" ht="15" hidden="false" customHeight="false" outlineLevel="0" collapsed="false">
      <c r="A229" s="0" t="n">
        <v>1245</v>
      </c>
      <c r="B229" s="14" t="n">
        <v>45563</v>
      </c>
      <c r="C229" s="15" t="s">
        <v>25</v>
      </c>
      <c r="D229" s="15" t="s">
        <v>69</v>
      </c>
      <c r="E229" s="15" t="s">
        <v>23</v>
      </c>
      <c r="F229" s="16" t="n">
        <v>2272.73</v>
      </c>
      <c r="G229" s="16" t="n">
        <v>3053.59</v>
      </c>
      <c r="H229" s="0" t="n">
        <v>6</v>
      </c>
      <c r="I229" s="16" t="n">
        <f aca="false">F229*H229</f>
        <v>13636.38</v>
      </c>
      <c r="J229" s="17" t="n">
        <f aca="false">IF(I229=0,0,G229/I229)</f>
        <v>0.223929664617736</v>
      </c>
    </row>
    <row r="230" customFormat="false" ht="15" hidden="false" customHeight="false" outlineLevel="0" collapsed="false">
      <c r="A230" s="0" t="n">
        <v>1184</v>
      </c>
      <c r="B230" s="14" t="n">
        <v>45563</v>
      </c>
      <c r="C230" s="15" t="s">
        <v>37</v>
      </c>
      <c r="D230" s="15" t="s">
        <v>66</v>
      </c>
      <c r="E230" s="15" t="s">
        <v>30</v>
      </c>
      <c r="F230" s="16" t="n">
        <v>6073.85</v>
      </c>
      <c r="G230" s="16" t="n">
        <v>3266.21</v>
      </c>
      <c r="H230" s="0" t="n">
        <v>4</v>
      </c>
      <c r="I230" s="16" t="n">
        <f aca="false">F230*H230</f>
        <v>24295.4</v>
      </c>
      <c r="J230" s="17" t="n">
        <f aca="false">IF(I230=0,0,G230/I230)</f>
        <v>0.134437383208344</v>
      </c>
    </row>
    <row r="231" customFormat="false" ht="15" hidden="false" customHeight="false" outlineLevel="0" collapsed="false">
      <c r="A231" s="0" t="n">
        <v>1010</v>
      </c>
      <c r="B231" s="14" t="n">
        <v>45565</v>
      </c>
      <c r="C231" s="15" t="s">
        <v>25</v>
      </c>
      <c r="D231" s="15" t="s">
        <v>69</v>
      </c>
      <c r="E231" s="15" t="s">
        <v>23</v>
      </c>
      <c r="F231" s="16" t="n">
        <v>1705.8</v>
      </c>
      <c r="G231" s="16" t="n">
        <v>3970.32</v>
      </c>
      <c r="H231" s="0" t="n">
        <v>12</v>
      </c>
      <c r="I231" s="16" t="n">
        <f aca="false">F231*H231</f>
        <v>20469.6</v>
      </c>
      <c r="J231" s="17" t="n">
        <f aca="false">IF(I231=0,0,G231/I231)</f>
        <v>0.193961777465119</v>
      </c>
    </row>
    <row r="232" customFormat="false" ht="15" hidden="false" customHeight="false" outlineLevel="0" collapsed="false">
      <c r="A232" s="0" t="n">
        <v>1294</v>
      </c>
      <c r="B232" s="14" t="n">
        <v>45565</v>
      </c>
      <c r="C232" s="15" t="s">
        <v>25</v>
      </c>
      <c r="D232" s="15" t="s">
        <v>69</v>
      </c>
      <c r="E232" s="15" t="s">
        <v>23</v>
      </c>
      <c r="F232" s="16" t="n">
        <v>3475.54</v>
      </c>
      <c r="G232" s="16" t="n">
        <v>11255.21</v>
      </c>
      <c r="H232" s="0" t="n">
        <v>12</v>
      </c>
      <c r="I232" s="16" t="n">
        <f aca="false">F232*H232</f>
        <v>41706.48</v>
      </c>
      <c r="J232" s="17" t="n">
        <f aca="false">IF(I232=0,0,G232/I232)</f>
        <v>0.269867176515496</v>
      </c>
    </row>
    <row r="233" customFormat="false" ht="15" hidden="false" customHeight="false" outlineLevel="0" collapsed="false">
      <c r="A233" s="0" t="n">
        <v>1006</v>
      </c>
      <c r="B233" s="14" t="n">
        <v>45566</v>
      </c>
      <c r="C233" s="15" t="s">
        <v>17</v>
      </c>
      <c r="D233" s="15" t="s">
        <v>32</v>
      </c>
      <c r="E233" s="15" t="s">
        <v>19</v>
      </c>
      <c r="F233" s="16" t="n">
        <v>585.21</v>
      </c>
      <c r="G233" s="16" t="n">
        <v>322.69</v>
      </c>
      <c r="H233" s="0" t="n">
        <v>2</v>
      </c>
      <c r="I233" s="16" t="n">
        <f aca="false">F233*H233</f>
        <v>1170.42</v>
      </c>
      <c r="J233" s="17" t="n">
        <f aca="false">IF(I233=0,0,G233/I233)</f>
        <v>0.27570444797594</v>
      </c>
    </row>
    <row r="234" customFormat="false" ht="15" hidden="false" customHeight="false" outlineLevel="0" collapsed="false">
      <c r="A234" s="0" t="n">
        <v>1101</v>
      </c>
      <c r="B234" s="14" t="n">
        <v>45566</v>
      </c>
      <c r="C234" s="15" t="s">
        <v>37</v>
      </c>
      <c r="D234" s="15" t="s">
        <v>53</v>
      </c>
      <c r="E234" s="15" t="s">
        <v>30</v>
      </c>
      <c r="F234" s="16" t="n">
        <v>4258.92</v>
      </c>
      <c r="G234" s="16" t="n">
        <v>5415.62</v>
      </c>
      <c r="H234" s="0" t="n">
        <v>12</v>
      </c>
      <c r="I234" s="16" t="n">
        <f aca="false">F234*H234</f>
        <v>51107.04</v>
      </c>
      <c r="J234" s="17" t="n">
        <f aca="false">IF(I234=0,0,G234/I234)</f>
        <v>0.105966223048723</v>
      </c>
    </row>
    <row r="235" customFormat="false" ht="15" hidden="false" customHeight="false" outlineLevel="0" collapsed="false">
      <c r="A235" s="0" t="n">
        <v>1076</v>
      </c>
      <c r="B235" s="14" t="n">
        <v>45568</v>
      </c>
      <c r="C235" s="15" t="s">
        <v>21</v>
      </c>
      <c r="D235" s="15" t="s">
        <v>26</v>
      </c>
      <c r="E235" s="15" t="s">
        <v>19</v>
      </c>
      <c r="F235" s="16" t="n">
        <v>126.11</v>
      </c>
      <c r="G235" s="16" t="n">
        <v>62.11</v>
      </c>
      <c r="H235" s="0" t="n">
        <v>2</v>
      </c>
      <c r="I235" s="16" t="n">
        <f aca="false">F235*H235</f>
        <v>252.22</v>
      </c>
      <c r="J235" s="17" t="n">
        <f aca="false">IF(I235=0,0,G235/I235)</f>
        <v>0.246253270953929</v>
      </c>
    </row>
    <row r="236" customFormat="false" ht="15" hidden="false" customHeight="false" outlineLevel="0" collapsed="false">
      <c r="A236" s="0" t="n">
        <v>1024</v>
      </c>
      <c r="B236" s="14" t="n">
        <v>45568</v>
      </c>
      <c r="C236" s="15" t="s">
        <v>25</v>
      </c>
      <c r="D236" s="15" t="s">
        <v>18</v>
      </c>
      <c r="E236" s="15" t="s">
        <v>19</v>
      </c>
      <c r="F236" s="16" t="n">
        <v>429.43</v>
      </c>
      <c r="G236" s="16" t="n">
        <v>1765.42</v>
      </c>
      <c r="H236" s="0" t="n">
        <v>12</v>
      </c>
      <c r="I236" s="16" t="n">
        <f aca="false">F236*H236</f>
        <v>5153.16</v>
      </c>
      <c r="J236" s="17" t="n">
        <f aca="false">IF(I236=0,0,G236/I236)</f>
        <v>0.342589789566014</v>
      </c>
    </row>
    <row r="237" customFormat="false" ht="15" hidden="false" customHeight="false" outlineLevel="0" collapsed="false">
      <c r="A237" s="0" t="n">
        <v>1167</v>
      </c>
      <c r="B237" s="14" t="n">
        <v>45568</v>
      </c>
      <c r="C237" s="15" t="s">
        <v>25</v>
      </c>
      <c r="D237" s="15" t="s">
        <v>51</v>
      </c>
      <c r="E237" s="15" t="s">
        <v>19</v>
      </c>
      <c r="F237" s="16" t="n">
        <v>489.18</v>
      </c>
      <c r="G237" s="16" t="n">
        <v>542.95</v>
      </c>
      <c r="H237" s="0" t="n">
        <v>5</v>
      </c>
      <c r="I237" s="16" t="n">
        <f aca="false">F237*H237</f>
        <v>2445.9</v>
      </c>
      <c r="J237" s="17" t="n">
        <f aca="false">IF(I237=0,0,G237/I237)</f>
        <v>0.221983727871131</v>
      </c>
    </row>
    <row r="238" customFormat="false" ht="15" hidden="false" customHeight="false" outlineLevel="0" collapsed="false">
      <c r="A238" s="0" t="n">
        <v>1235</v>
      </c>
      <c r="B238" s="14" t="n">
        <v>45570</v>
      </c>
      <c r="C238" s="15" t="s">
        <v>17</v>
      </c>
      <c r="D238" s="15" t="s">
        <v>26</v>
      </c>
      <c r="E238" s="15" t="s">
        <v>19</v>
      </c>
      <c r="F238" s="16" t="n">
        <v>189.32</v>
      </c>
      <c r="G238" s="16" t="n">
        <v>531.09</v>
      </c>
      <c r="H238" s="0" t="n">
        <v>8</v>
      </c>
      <c r="I238" s="16" t="n">
        <f aca="false">F238*H238</f>
        <v>1514.56</v>
      </c>
      <c r="J238" s="17" t="n">
        <f aca="false">IF(I238=0,0,G238/I238)</f>
        <v>0.350656296218044</v>
      </c>
    </row>
    <row r="239" customFormat="false" ht="15" hidden="false" customHeight="false" outlineLevel="0" collapsed="false">
      <c r="A239" s="0" t="n">
        <v>1113</v>
      </c>
      <c r="B239" s="14" t="n">
        <v>45570</v>
      </c>
      <c r="C239" s="15" t="s">
        <v>37</v>
      </c>
      <c r="D239" s="15" t="s">
        <v>47</v>
      </c>
      <c r="E239" s="15" t="s">
        <v>30</v>
      </c>
      <c r="F239" s="16" t="n">
        <v>8652.53</v>
      </c>
      <c r="G239" s="16" t="n">
        <v>6541.64</v>
      </c>
      <c r="H239" s="0" t="n">
        <v>4</v>
      </c>
      <c r="I239" s="16" t="n">
        <f aca="false">F239*H239</f>
        <v>34610.12</v>
      </c>
      <c r="J239" s="17" t="n">
        <f aca="false">IF(I239=0,0,G239/I239)</f>
        <v>0.189009457349469</v>
      </c>
    </row>
    <row r="240" customFormat="false" ht="15" hidden="false" customHeight="false" outlineLevel="0" collapsed="false">
      <c r="A240" s="0" t="n">
        <v>1073</v>
      </c>
      <c r="B240" s="14" t="n">
        <v>45572</v>
      </c>
      <c r="C240" s="15" t="s">
        <v>17</v>
      </c>
      <c r="D240" s="15" t="s">
        <v>18</v>
      </c>
      <c r="E240" s="15" t="s">
        <v>19</v>
      </c>
      <c r="F240" s="16" t="n">
        <v>543.46</v>
      </c>
      <c r="G240" s="16" t="n">
        <v>1516.17</v>
      </c>
      <c r="H240" s="0" t="n">
        <v>8</v>
      </c>
      <c r="I240" s="16" t="n">
        <f aca="false">F240*H240</f>
        <v>4347.68</v>
      </c>
      <c r="J240" s="17" t="n">
        <f aca="false">IF(I240=0,0,G240/I240)</f>
        <v>0.348730817355463</v>
      </c>
    </row>
    <row r="241" customFormat="false" ht="15" hidden="false" customHeight="false" outlineLevel="0" collapsed="false">
      <c r="A241" s="0" t="n">
        <v>1121</v>
      </c>
      <c r="B241" s="14" t="n">
        <v>45573</v>
      </c>
      <c r="C241" s="15" t="s">
        <v>17</v>
      </c>
      <c r="D241" s="15" t="s">
        <v>45</v>
      </c>
      <c r="E241" s="15" t="s">
        <v>35</v>
      </c>
      <c r="F241" s="16" t="n">
        <v>3155.75</v>
      </c>
      <c r="G241" s="16" t="n">
        <v>434.68</v>
      </c>
      <c r="H241" s="0" t="n">
        <v>1</v>
      </c>
      <c r="I241" s="16" t="n">
        <f aca="false">F241*H241</f>
        <v>3155.75</v>
      </c>
      <c r="J241" s="17" t="n">
        <f aca="false">IF(I241=0,0,G241/I241)</f>
        <v>0.137742216588767</v>
      </c>
    </row>
    <row r="242" customFormat="false" ht="15" hidden="false" customHeight="false" outlineLevel="0" collapsed="false">
      <c r="A242" s="0" t="n">
        <v>1252</v>
      </c>
      <c r="B242" s="14" t="n">
        <v>45574</v>
      </c>
      <c r="C242" s="15" t="s">
        <v>17</v>
      </c>
      <c r="D242" s="15" t="s">
        <v>26</v>
      </c>
      <c r="E242" s="15" t="s">
        <v>19</v>
      </c>
      <c r="F242" s="16" t="n">
        <v>386.57</v>
      </c>
      <c r="G242" s="16" t="n">
        <v>251.94</v>
      </c>
      <c r="H242" s="0" t="n">
        <v>3</v>
      </c>
      <c r="I242" s="16" t="n">
        <f aca="false">F242*H242</f>
        <v>1159.71</v>
      </c>
      <c r="J242" s="17" t="n">
        <f aca="false">IF(I242=0,0,G242/I242)</f>
        <v>0.217243966163955</v>
      </c>
    </row>
    <row r="243" customFormat="false" ht="15" hidden="false" customHeight="false" outlineLevel="0" collapsed="false">
      <c r="A243" s="0" t="n">
        <v>1110</v>
      </c>
      <c r="B243" s="14" t="n">
        <v>45574</v>
      </c>
      <c r="C243" s="15" t="s">
        <v>25</v>
      </c>
      <c r="D243" s="15" t="s">
        <v>29</v>
      </c>
      <c r="E243" s="15" t="s">
        <v>30</v>
      </c>
      <c r="F243" s="16" t="n">
        <v>3987.06</v>
      </c>
      <c r="G243" s="16" t="n">
        <v>1028.84</v>
      </c>
      <c r="H243" s="0" t="n">
        <v>2</v>
      </c>
      <c r="I243" s="16" t="n">
        <f aca="false">F243*H243</f>
        <v>7974.12</v>
      </c>
      <c r="J243" s="17" t="n">
        <f aca="false">IF(I243=0,0,G243/I243)</f>
        <v>0.129022387423314</v>
      </c>
    </row>
    <row r="244" customFormat="false" ht="15" hidden="false" customHeight="false" outlineLevel="0" collapsed="false">
      <c r="A244" s="0" t="n">
        <v>1107</v>
      </c>
      <c r="B244" s="14" t="n">
        <v>45577</v>
      </c>
      <c r="C244" s="15" t="s">
        <v>37</v>
      </c>
      <c r="D244" s="15" t="s">
        <v>85</v>
      </c>
      <c r="E244" s="15" t="s">
        <v>23</v>
      </c>
      <c r="F244" s="16" t="n">
        <v>3043.38</v>
      </c>
      <c r="G244" s="16" t="n">
        <v>5251.75</v>
      </c>
      <c r="H244" s="0" t="n">
        <v>7</v>
      </c>
      <c r="I244" s="16" t="n">
        <f aca="false">F244*H244</f>
        <v>21303.66</v>
      </c>
      <c r="J244" s="17" t="n">
        <f aca="false">IF(I244=0,0,G244/I244)</f>
        <v>0.246518673317167</v>
      </c>
    </row>
    <row r="245" customFormat="false" ht="15" hidden="false" customHeight="false" outlineLevel="0" collapsed="false">
      <c r="A245" s="0" t="n">
        <v>1050</v>
      </c>
      <c r="B245" s="14" t="n">
        <v>45579</v>
      </c>
      <c r="C245" s="15" t="s">
        <v>17</v>
      </c>
      <c r="D245" s="15" t="s">
        <v>34</v>
      </c>
      <c r="E245" s="15" t="s">
        <v>35</v>
      </c>
      <c r="F245" s="16" t="n">
        <v>1681.06</v>
      </c>
      <c r="G245" s="16" t="n">
        <v>358.75</v>
      </c>
      <c r="H245" s="0" t="n">
        <v>1</v>
      </c>
      <c r="I245" s="16" t="n">
        <f aca="false">F245*H245</f>
        <v>1681.06</v>
      </c>
      <c r="J245" s="17" t="n">
        <f aca="false">IF(I245=0,0,G245/I245)</f>
        <v>0.213407017001178</v>
      </c>
    </row>
    <row r="246" customFormat="false" ht="15" hidden="false" customHeight="false" outlineLevel="0" collapsed="false">
      <c r="A246" s="0" t="n">
        <v>1259</v>
      </c>
      <c r="B246" s="14" t="n">
        <v>45580</v>
      </c>
      <c r="C246" s="15" t="s">
        <v>21</v>
      </c>
      <c r="D246" s="15" t="s">
        <v>29</v>
      </c>
      <c r="E246" s="15" t="s">
        <v>30</v>
      </c>
      <c r="F246" s="16" t="n">
        <v>10339.74</v>
      </c>
      <c r="G246" s="16" t="n">
        <v>862.38</v>
      </c>
      <c r="H246" s="0" t="n">
        <v>1</v>
      </c>
      <c r="I246" s="16" t="n">
        <f aca="false">F246*H246</f>
        <v>10339.74</v>
      </c>
      <c r="J246" s="17" t="n">
        <f aca="false">IF(I246=0,0,G246/I246)</f>
        <v>0.0834044182929165</v>
      </c>
    </row>
    <row r="247" customFormat="false" ht="15" hidden="false" customHeight="false" outlineLevel="0" collapsed="false">
      <c r="A247" s="0" t="n">
        <v>1090</v>
      </c>
      <c r="B247" s="14" t="n">
        <v>45581</v>
      </c>
      <c r="C247" s="15" t="s">
        <v>37</v>
      </c>
      <c r="D247" s="15" t="s">
        <v>60</v>
      </c>
      <c r="E247" s="15" t="s">
        <v>23</v>
      </c>
      <c r="F247" s="16" t="n">
        <v>2084.65</v>
      </c>
      <c r="G247" s="16" t="n">
        <v>393.04</v>
      </c>
      <c r="H247" s="0" t="n">
        <v>1</v>
      </c>
      <c r="I247" s="16" t="n">
        <f aca="false">F247*H247</f>
        <v>2084.65</v>
      </c>
      <c r="J247" s="17" t="n">
        <f aca="false">IF(I247=0,0,G247/I247)</f>
        <v>0.188540042693018</v>
      </c>
    </row>
    <row r="248" customFormat="false" ht="15" hidden="false" customHeight="false" outlineLevel="0" collapsed="false">
      <c r="A248" s="0" t="n">
        <v>1165</v>
      </c>
      <c r="B248" s="14" t="n">
        <v>45581</v>
      </c>
      <c r="C248" s="15" t="s">
        <v>25</v>
      </c>
      <c r="D248" s="15" t="s">
        <v>51</v>
      </c>
      <c r="E248" s="15" t="s">
        <v>19</v>
      </c>
      <c r="F248" s="16" t="n">
        <v>87.74</v>
      </c>
      <c r="G248" s="16" t="n">
        <v>123.9</v>
      </c>
      <c r="H248" s="0" t="n">
        <v>4</v>
      </c>
      <c r="I248" s="16" t="n">
        <f aca="false">F248*H248</f>
        <v>350.96</v>
      </c>
      <c r="J248" s="17" t="n">
        <f aca="false">IF(I248=0,0,G248/I248)</f>
        <v>0.353031684522453</v>
      </c>
    </row>
    <row r="249" customFormat="false" ht="15" hidden="false" customHeight="false" outlineLevel="0" collapsed="false">
      <c r="A249" s="0" t="n">
        <v>1040</v>
      </c>
      <c r="B249" s="14" t="n">
        <v>45583</v>
      </c>
      <c r="C249" s="15" t="s">
        <v>37</v>
      </c>
      <c r="D249" s="15" t="s">
        <v>47</v>
      </c>
      <c r="E249" s="15" t="s">
        <v>30</v>
      </c>
      <c r="F249" s="16" t="n">
        <v>7999.73</v>
      </c>
      <c r="G249" s="16" t="n">
        <v>2712.52</v>
      </c>
      <c r="H249" s="0" t="n">
        <v>4</v>
      </c>
      <c r="I249" s="16" t="n">
        <f aca="false">F249*H249</f>
        <v>31998.92</v>
      </c>
      <c r="J249" s="17" t="n">
        <f aca="false">IF(I249=0,0,G249/I249)</f>
        <v>0.0847691109574948</v>
      </c>
    </row>
    <row r="250" customFormat="false" ht="15" hidden="false" customHeight="false" outlineLevel="0" collapsed="false">
      <c r="A250" s="0" t="n">
        <v>1308</v>
      </c>
      <c r="B250" s="14" t="n">
        <v>45585</v>
      </c>
      <c r="C250" s="15" t="s">
        <v>25</v>
      </c>
      <c r="D250" s="15" t="s">
        <v>22</v>
      </c>
      <c r="E250" s="15" t="s">
        <v>23</v>
      </c>
      <c r="F250" s="16" t="n">
        <v>1354.45</v>
      </c>
      <c r="G250" s="16" t="n">
        <v>2102.77</v>
      </c>
      <c r="H250" s="0" t="n">
        <v>9</v>
      </c>
      <c r="I250" s="16" t="n">
        <f aca="false">F250*H250</f>
        <v>12190.05</v>
      </c>
      <c r="J250" s="17" t="n">
        <f aca="false">IF(I250=0,0,G250/I250)</f>
        <v>0.172498882285142</v>
      </c>
    </row>
    <row r="251" customFormat="false" ht="15" hidden="false" customHeight="false" outlineLevel="0" collapsed="false">
      <c r="A251" s="0" t="n">
        <v>1287</v>
      </c>
      <c r="B251" s="14" t="n">
        <v>45585</v>
      </c>
      <c r="C251" s="15" t="s">
        <v>37</v>
      </c>
      <c r="D251" s="15" t="s">
        <v>26</v>
      </c>
      <c r="E251" s="15" t="s">
        <v>19</v>
      </c>
      <c r="F251" s="16" t="n">
        <v>348.75</v>
      </c>
      <c r="G251" s="16" t="n">
        <v>1454.52</v>
      </c>
      <c r="H251" s="0" t="n">
        <v>11</v>
      </c>
      <c r="I251" s="16" t="n">
        <f aca="false">F251*H251</f>
        <v>3836.25</v>
      </c>
      <c r="J251" s="17" t="n">
        <f aca="false">IF(I251=0,0,G251/I251)</f>
        <v>0.379151515151515</v>
      </c>
    </row>
    <row r="252" customFormat="false" ht="15" hidden="false" customHeight="false" outlineLevel="0" collapsed="false">
      <c r="A252" s="0" t="n">
        <v>1150</v>
      </c>
      <c r="B252" s="14" t="n">
        <v>45588</v>
      </c>
      <c r="C252" s="15" t="s">
        <v>37</v>
      </c>
      <c r="D252" s="15" t="s">
        <v>18</v>
      </c>
      <c r="E252" s="15" t="s">
        <v>19</v>
      </c>
      <c r="F252" s="16" t="n">
        <v>452.8</v>
      </c>
      <c r="G252" s="16" t="n">
        <v>592.33</v>
      </c>
      <c r="H252" s="0" t="n">
        <v>6</v>
      </c>
      <c r="I252" s="16" t="n">
        <f aca="false">F252*H252</f>
        <v>2716.8</v>
      </c>
      <c r="J252" s="17" t="n">
        <f aca="false">IF(I252=0,0,G252/I252)</f>
        <v>0.21802488221437</v>
      </c>
    </row>
    <row r="253" customFormat="false" ht="15" hidden="false" customHeight="false" outlineLevel="0" collapsed="false">
      <c r="A253" s="0" t="n">
        <v>1309</v>
      </c>
      <c r="B253" s="14" t="n">
        <v>45590</v>
      </c>
      <c r="C253" s="15" t="s">
        <v>25</v>
      </c>
      <c r="D253" s="15" t="s">
        <v>42</v>
      </c>
      <c r="E253" s="15" t="s">
        <v>35</v>
      </c>
      <c r="F253" s="16" t="n">
        <v>1591.05</v>
      </c>
      <c r="G253" s="16" t="n">
        <v>2052.39</v>
      </c>
      <c r="H253" s="0" t="n">
        <v>8</v>
      </c>
      <c r="I253" s="16" t="n">
        <f aca="false">F253*H253</f>
        <v>12728.4</v>
      </c>
      <c r="J253" s="17" t="n">
        <f aca="false">IF(I253=0,0,G253/I253)</f>
        <v>0.161244932591685</v>
      </c>
    </row>
    <row r="254" customFormat="false" ht="15" hidden="false" customHeight="false" outlineLevel="0" collapsed="false">
      <c r="A254" s="0" t="n">
        <v>1051</v>
      </c>
      <c r="B254" s="14" t="n">
        <v>45590</v>
      </c>
      <c r="C254" s="15" t="s">
        <v>21</v>
      </c>
      <c r="D254" s="15" t="s">
        <v>66</v>
      </c>
      <c r="E254" s="15" t="s">
        <v>30</v>
      </c>
      <c r="F254" s="16" t="n">
        <v>3906.89</v>
      </c>
      <c r="G254" s="16" t="n">
        <v>3350.71</v>
      </c>
      <c r="H254" s="0" t="n">
        <v>9</v>
      </c>
      <c r="I254" s="16" t="n">
        <f aca="false">F254*H254</f>
        <v>35162.01</v>
      </c>
      <c r="J254" s="17" t="n">
        <f aca="false">IF(I254=0,0,G254/I254)</f>
        <v>0.0952934715620637</v>
      </c>
    </row>
    <row r="255" customFormat="false" ht="15" hidden="false" customHeight="false" outlineLevel="0" collapsed="false">
      <c r="A255" s="0" t="n">
        <v>1155</v>
      </c>
      <c r="B255" s="14" t="n">
        <v>45591</v>
      </c>
      <c r="C255" s="15" t="s">
        <v>21</v>
      </c>
      <c r="D255" s="15" t="s">
        <v>45</v>
      </c>
      <c r="E255" s="15" t="s">
        <v>35</v>
      </c>
      <c r="F255" s="16" t="n">
        <v>4736.39</v>
      </c>
      <c r="G255" s="16" t="n">
        <v>7056.49</v>
      </c>
      <c r="H255" s="0" t="n">
        <v>7</v>
      </c>
      <c r="I255" s="16" t="n">
        <f aca="false">F255*H255</f>
        <v>33154.73</v>
      </c>
      <c r="J255" s="17" t="n">
        <f aca="false">IF(I255=0,0,G255/I255)</f>
        <v>0.212835091704864</v>
      </c>
    </row>
    <row r="256" customFormat="false" ht="15" hidden="false" customHeight="false" outlineLevel="0" collapsed="false">
      <c r="A256" s="0" t="n">
        <v>1178</v>
      </c>
      <c r="B256" s="14" t="n">
        <v>45592</v>
      </c>
      <c r="C256" s="15" t="s">
        <v>37</v>
      </c>
      <c r="D256" s="15" t="s">
        <v>51</v>
      </c>
      <c r="E256" s="15" t="s">
        <v>19</v>
      </c>
      <c r="F256" s="16" t="n">
        <v>358.93</v>
      </c>
      <c r="G256" s="16" t="n">
        <v>1078.95</v>
      </c>
      <c r="H256" s="0" t="n">
        <v>9</v>
      </c>
      <c r="I256" s="16" t="n">
        <f aca="false">F256*H256</f>
        <v>3230.37</v>
      </c>
      <c r="J256" s="17" t="n">
        <f aca="false">IF(I256=0,0,G256/I256)</f>
        <v>0.334001987388442</v>
      </c>
    </row>
    <row r="257" customFormat="false" ht="15" hidden="false" customHeight="false" outlineLevel="0" collapsed="false">
      <c r="A257" s="0" t="n">
        <v>1130</v>
      </c>
      <c r="B257" s="14" t="n">
        <v>45592</v>
      </c>
      <c r="C257" s="15" t="s">
        <v>21</v>
      </c>
      <c r="D257" s="15" t="s">
        <v>60</v>
      </c>
      <c r="E257" s="15" t="s">
        <v>23</v>
      </c>
      <c r="F257" s="16" t="n">
        <v>4495.94</v>
      </c>
      <c r="G257" s="16" t="n">
        <v>8917.36</v>
      </c>
      <c r="H257" s="0" t="n">
        <v>10</v>
      </c>
      <c r="I257" s="16" t="n">
        <f aca="false">F257*H257</f>
        <v>44959.4</v>
      </c>
      <c r="J257" s="17" t="n">
        <f aca="false">IF(I257=0,0,G257/I257)</f>
        <v>0.198342504570791</v>
      </c>
    </row>
    <row r="258" customFormat="false" ht="15" hidden="false" customHeight="false" outlineLevel="0" collapsed="false">
      <c r="A258" s="0" t="n">
        <v>1026</v>
      </c>
      <c r="B258" s="14" t="n">
        <v>45593</v>
      </c>
      <c r="C258" s="15" t="s">
        <v>37</v>
      </c>
      <c r="D258" s="15" t="s">
        <v>60</v>
      </c>
      <c r="E258" s="15" t="s">
        <v>23</v>
      </c>
      <c r="F258" s="16" t="n">
        <v>1651.42</v>
      </c>
      <c r="G258" s="16" t="n">
        <v>2307.22</v>
      </c>
      <c r="H258" s="0" t="n">
        <v>9</v>
      </c>
      <c r="I258" s="16" t="n">
        <f aca="false">F258*H258</f>
        <v>14862.78</v>
      </c>
      <c r="J258" s="17" t="n">
        <f aca="false">IF(I258=0,0,G258/I258)</f>
        <v>0.155234754198071</v>
      </c>
    </row>
    <row r="259" customFormat="false" ht="15" hidden="false" customHeight="false" outlineLevel="0" collapsed="false">
      <c r="A259" s="0" t="n">
        <v>1209</v>
      </c>
      <c r="B259" s="14" t="n">
        <v>45596</v>
      </c>
      <c r="C259" s="15" t="s">
        <v>25</v>
      </c>
      <c r="D259" s="15" t="s">
        <v>18</v>
      </c>
      <c r="E259" s="15" t="s">
        <v>19</v>
      </c>
      <c r="F259" s="16" t="n">
        <v>565.9</v>
      </c>
      <c r="G259" s="16" t="n">
        <v>1778.62</v>
      </c>
      <c r="H259" s="0" t="n">
        <v>12</v>
      </c>
      <c r="I259" s="16" t="n">
        <f aca="false">F259*H259</f>
        <v>6790.8</v>
      </c>
      <c r="J259" s="17" t="n">
        <f aca="false">IF(I259=0,0,G259/I259)</f>
        <v>0.261916121811863</v>
      </c>
    </row>
    <row r="260" customFormat="false" ht="15" hidden="false" customHeight="false" outlineLevel="0" collapsed="false">
      <c r="A260" s="0" t="n">
        <v>1096</v>
      </c>
      <c r="B260" s="14" t="n">
        <v>45597</v>
      </c>
      <c r="C260" s="15" t="s">
        <v>21</v>
      </c>
      <c r="D260" s="15" t="s">
        <v>26</v>
      </c>
      <c r="E260" s="15" t="s">
        <v>19</v>
      </c>
      <c r="F260" s="16" t="n">
        <v>534.06</v>
      </c>
      <c r="G260" s="16" t="n">
        <v>1994.13</v>
      </c>
      <c r="H260" s="0" t="n">
        <v>12</v>
      </c>
      <c r="I260" s="16" t="n">
        <f aca="false">F260*H260</f>
        <v>6408.72</v>
      </c>
      <c r="J260" s="17" t="n">
        <f aca="false">IF(I260=0,0,G260/I260)</f>
        <v>0.311158858555219</v>
      </c>
    </row>
    <row r="261" customFormat="false" ht="15" hidden="false" customHeight="false" outlineLevel="0" collapsed="false">
      <c r="A261" s="0" t="n">
        <v>1274</v>
      </c>
      <c r="B261" s="14" t="n">
        <v>45600</v>
      </c>
      <c r="C261" s="15" t="s">
        <v>25</v>
      </c>
      <c r="D261" s="15" t="s">
        <v>51</v>
      </c>
      <c r="E261" s="15" t="s">
        <v>19</v>
      </c>
      <c r="F261" s="16" t="n">
        <v>270.76</v>
      </c>
      <c r="G261" s="16" t="n">
        <v>506.99</v>
      </c>
      <c r="H261" s="0" t="n">
        <v>9</v>
      </c>
      <c r="I261" s="16" t="n">
        <f aca="false">F261*H261</f>
        <v>2436.84</v>
      </c>
      <c r="J261" s="17" t="n">
        <f aca="false">IF(I261=0,0,G261/I261)</f>
        <v>0.208052231578602</v>
      </c>
    </row>
    <row r="262" customFormat="false" ht="15" hidden="false" customHeight="false" outlineLevel="0" collapsed="false">
      <c r="A262" s="0" t="n">
        <v>1047</v>
      </c>
      <c r="B262" s="14" t="n">
        <v>45601</v>
      </c>
      <c r="C262" s="15" t="s">
        <v>21</v>
      </c>
      <c r="D262" s="15" t="s">
        <v>53</v>
      </c>
      <c r="E262" s="15" t="s">
        <v>30</v>
      </c>
      <c r="F262" s="16" t="n">
        <v>9317.32</v>
      </c>
      <c r="G262" s="16" t="n">
        <v>3892.09</v>
      </c>
      <c r="H262" s="0" t="n">
        <v>4</v>
      </c>
      <c r="I262" s="16" t="n">
        <f aca="false">F262*H262</f>
        <v>37269.28</v>
      </c>
      <c r="J262" s="17" t="n">
        <f aca="false">IF(I262=0,0,G262/I262)</f>
        <v>0.104431585477369</v>
      </c>
    </row>
    <row r="263" customFormat="false" ht="15" hidden="false" customHeight="false" outlineLevel="0" collapsed="false">
      <c r="A263" s="0" t="n">
        <v>1305</v>
      </c>
      <c r="B263" s="14" t="n">
        <v>45602</v>
      </c>
      <c r="C263" s="15" t="s">
        <v>17</v>
      </c>
      <c r="D263" s="15" t="s">
        <v>42</v>
      </c>
      <c r="E263" s="15" t="s">
        <v>35</v>
      </c>
      <c r="F263" s="16" t="n">
        <v>2988.14</v>
      </c>
      <c r="G263" s="16" t="n">
        <v>2974.54</v>
      </c>
      <c r="H263" s="0" t="n">
        <v>6</v>
      </c>
      <c r="I263" s="16" t="n">
        <f aca="false">F263*H263</f>
        <v>17928.84</v>
      </c>
      <c r="J263" s="17" t="n">
        <f aca="false">IF(I263=0,0,G263/I263)</f>
        <v>0.16590811229282</v>
      </c>
    </row>
    <row r="264" customFormat="false" ht="15" hidden="false" customHeight="false" outlineLevel="0" collapsed="false">
      <c r="A264" s="0" t="n">
        <v>1045</v>
      </c>
      <c r="B264" s="14" t="n">
        <v>45605</v>
      </c>
      <c r="C264" s="15" t="s">
        <v>21</v>
      </c>
      <c r="D264" s="15" t="s">
        <v>47</v>
      </c>
      <c r="E264" s="15" t="s">
        <v>30</v>
      </c>
      <c r="F264" s="16" t="n">
        <v>7524.94</v>
      </c>
      <c r="G264" s="16" t="n">
        <v>13255.78</v>
      </c>
      <c r="H264" s="0" t="n">
        <v>11</v>
      </c>
      <c r="I264" s="16" t="n">
        <f aca="false">F264*H264</f>
        <v>82774.34</v>
      </c>
      <c r="J264" s="17" t="n">
        <f aca="false">IF(I264=0,0,G264/I264)</f>
        <v>0.160143590392868</v>
      </c>
    </row>
    <row r="265" customFormat="false" ht="15" hidden="false" customHeight="false" outlineLevel="0" collapsed="false">
      <c r="A265" s="0" t="n">
        <v>1318</v>
      </c>
      <c r="B265" s="14" t="n">
        <v>45606</v>
      </c>
      <c r="C265" s="15" t="s">
        <v>17</v>
      </c>
      <c r="D265" s="15" t="s">
        <v>22</v>
      </c>
      <c r="E265" s="15" t="s">
        <v>23</v>
      </c>
      <c r="F265" s="16" t="n">
        <v>1690.47</v>
      </c>
      <c r="G265" s="16" t="n">
        <v>221.06</v>
      </c>
      <c r="H265" s="0" t="n">
        <v>1</v>
      </c>
      <c r="I265" s="16" t="n">
        <f aca="false">F265*H265</f>
        <v>1690.47</v>
      </c>
      <c r="J265" s="17" t="n">
        <f aca="false">IF(I265=0,0,G265/I265)</f>
        <v>0.130768366194017</v>
      </c>
    </row>
    <row r="266" customFormat="false" ht="15" hidden="false" customHeight="false" outlineLevel="0" collapsed="false">
      <c r="A266" s="0" t="n">
        <v>1258</v>
      </c>
      <c r="B266" s="14" t="n">
        <v>45606</v>
      </c>
      <c r="C266" s="15" t="s">
        <v>21</v>
      </c>
      <c r="D266" s="15" t="s">
        <v>51</v>
      </c>
      <c r="E266" s="15" t="s">
        <v>19</v>
      </c>
      <c r="F266" s="16" t="n">
        <v>101.39</v>
      </c>
      <c r="G266" s="16" t="n">
        <v>299.48</v>
      </c>
      <c r="H266" s="0" t="n">
        <v>9</v>
      </c>
      <c r="I266" s="16" t="n">
        <f aca="false">F266*H266</f>
        <v>912.51</v>
      </c>
      <c r="J266" s="17" t="n">
        <f aca="false">IF(I266=0,0,G266/I266)</f>
        <v>0.328193663631084</v>
      </c>
    </row>
    <row r="267" customFormat="false" ht="15" hidden="false" customHeight="false" outlineLevel="0" collapsed="false">
      <c r="A267" s="0" t="n">
        <v>1290</v>
      </c>
      <c r="B267" s="14" t="n">
        <v>45607</v>
      </c>
      <c r="C267" s="15" t="s">
        <v>37</v>
      </c>
      <c r="D267" s="15" t="s">
        <v>51</v>
      </c>
      <c r="E267" s="15" t="s">
        <v>19</v>
      </c>
      <c r="F267" s="16" t="n">
        <v>372.76</v>
      </c>
      <c r="G267" s="16" t="n">
        <v>1111.53</v>
      </c>
      <c r="H267" s="0" t="n">
        <v>12</v>
      </c>
      <c r="I267" s="16" t="n">
        <f aca="false">F267*H267</f>
        <v>4473.12</v>
      </c>
      <c r="J267" s="17" t="n">
        <f aca="false">IF(I267=0,0,G267/I267)</f>
        <v>0.248490986157313</v>
      </c>
    </row>
    <row r="268" customFormat="false" ht="15" hidden="false" customHeight="false" outlineLevel="0" collapsed="false">
      <c r="A268" s="0" t="n">
        <v>1194</v>
      </c>
      <c r="B268" s="14" t="n">
        <v>45608</v>
      </c>
      <c r="C268" s="15" t="s">
        <v>25</v>
      </c>
      <c r="D268" s="15" t="s">
        <v>60</v>
      </c>
      <c r="E268" s="15" t="s">
        <v>23</v>
      </c>
      <c r="F268" s="16" t="n">
        <v>3878.5</v>
      </c>
      <c r="G268" s="16" t="n">
        <v>8289.54</v>
      </c>
      <c r="H268" s="0" t="n">
        <v>8</v>
      </c>
      <c r="I268" s="16" t="n">
        <f aca="false">F268*H268</f>
        <v>31028</v>
      </c>
      <c r="J268" s="17" t="n">
        <f aca="false">IF(I268=0,0,G268/I268)</f>
        <v>0.267163207425551</v>
      </c>
    </row>
    <row r="269" customFormat="false" ht="15" hidden="false" customHeight="false" outlineLevel="0" collapsed="false">
      <c r="A269" s="0" t="n">
        <v>1043</v>
      </c>
      <c r="B269" s="14" t="n">
        <v>45610</v>
      </c>
      <c r="C269" s="15" t="s">
        <v>17</v>
      </c>
      <c r="D269" s="15" t="s">
        <v>22</v>
      </c>
      <c r="E269" s="15" t="s">
        <v>23</v>
      </c>
      <c r="F269" s="16" t="n">
        <v>4485.56</v>
      </c>
      <c r="G269" s="16" t="n">
        <v>5908.46</v>
      </c>
      <c r="H269" s="0" t="n">
        <v>10</v>
      </c>
      <c r="I269" s="16" t="n">
        <f aca="false">F269*H269</f>
        <v>44855.6</v>
      </c>
      <c r="J269" s="17" t="n">
        <f aca="false">IF(I269=0,0,G269/I269)</f>
        <v>0.131721791704938</v>
      </c>
    </row>
    <row r="270" customFormat="false" ht="15" hidden="false" customHeight="false" outlineLevel="0" collapsed="false">
      <c r="A270" s="0" t="n">
        <v>1019</v>
      </c>
      <c r="B270" s="14" t="n">
        <v>45612</v>
      </c>
      <c r="C270" s="15" t="s">
        <v>37</v>
      </c>
      <c r="D270" s="15" t="s">
        <v>51</v>
      </c>
      <c r="E270" s="15" t="s">
        <v>19</v>
      </c>
      <c r="F270" s="16" t="n">
        <v>512.92</v>
      </c>
      <c r="G270" s="16" t="n">
        <v>773.31</v>
      </c>
      <c r="H270" s="0" t="n">
        <v>5</v>
      </c>
      <c r="I270" s="16" t="n">
        <f aca="false">F270*H270</f>
        <v>2564.6</v>
      </c>
      <c r="J270" s="17" t="n">
        <f aca="false">IF(I270=0,0,G270/I270)</f>
        <v>0.301532402713874</v>
      </c>
    </row>
    <row r="271" customFormat="false" ht="15" hidden="false" customHeight="false" outlineLevel="0" collapsed="false">
      <c r="A271" s="0" t="n">
        <v>1149</v>
      </c>
      <c r="B271" s="14" t="n">
        <v>45613</v>
      </c>
      <c r="C271" s="15" t="s">
        <v>25</v>
      </c>
      <c r="D271" s="15" t="s">
        <v>53</v>
      </c>
      <c r="E271" s="15" t="s">
        <v>30</v>
      </c>
      <c r="F271" s="16" t="n">
        <v>11082.34</v>
      </c>
      <c r="G271" s="16" t="n">
        <v>3492.29</v>
      </c>
      <c r="H271" s="0" t="n">
        <v>2</v>
      </c>
      <c r="I271" s="16" t="n">
        <f aca="false">F271*H271</f>
        <v>22164.68</v>
      </c>
      <c r="J271" s="17" t="n">
        <f aca="false">IF(I271=0,0,G271/I271)</f>
        <v>0.15756103855323</v>
      </c>
    </row>
    <row r="272" customFormat="false" ht="15" hidden="false" customHeight="false" outlineLevel="0" collapsed="false">
      <c r="A272" s="0" t="n">
        <v>1125</v>
      </c>
      <c r="B272" s="14" t="n">
        <v>45614</v>
      </c>
      <c r="C272" s="15" t="s">
        <v>37</v>
      </c>
      <c r="D272" s="15" t="s">
        <v>42</v>
      </c>
      <c r="E272" s="15" t="s">
        <v>35</v>
      </c>
      <c r="F272" s="16" t="n">
        <v>4637.05</v>
      </c>
      <c r="G272" s="16" t="n">
        <v>8586.61</v>
      </c>
      <c r="H272" s="0" t="n">
        <v>10</v>
      </c>
      <c r="I272" s="16" t="n">
        <f aca="false">F272*H272</f>
        <v>46370.5</v>
      </c>
      <c r="J272" s="17" t="n">
        <f aca="false">IF(I272=0,0,G272/I272)</f>
        <v>0.185173979146224</v>
      </c>
    </row>
    <row r="273" customFormat="false" ht="15" hidden="false" customHeight="false" outlineLevel="0" collapsed="false">
      <c r="A273" s="0" t="n">
        <v>1233</v>
      </c>
      <c r="B273" s="14" t="n">
        <v>45615</v>
      </c>
      <c r="C273" s="15" t="s">
        <v>17</v>
      </c>
      <c r="D273" s="15" t="s">
        <v>34</v>
      </c>
      <c r="E273" s="15" t="s">
        <v>35</v>
      </c>
      <c r="F273" s="16" t="n">
        <v>4689.44</v>
      </c>
      <c r="G273" s="16" t="n">
        <v>1513.36</v>
      </c>
      <c r="H273" s="0" t="n">
        <v>3</v>
      </c>
      <c r="I273" s="16" t="n">
        <f aca="false">F273*H273</f>
        <v>14068.32</v>
      </c>
      <c r="J273" s="17" t="n">
        <f aca="false">IF(I273=0,0,G273/I273)</f>
        <v>0.107572190567175</v>
      </c>
    </row>
    <row r="274" customFormat="false" ht="15" hidden="false" customHeight="false" outlineLevel="0" collapsed="false">
      <c r="A274" s="0" t="n">
        <v>1119</v>
      </c>
      <c r="B274" s="14" t="n">
        <v>45617</v>
      </c>
      <c r="C274" s="15" t="s">
        <v>17</v>
      </c>
      <c r="D274" s="15" t="s">
        <v>51</v>
      </c>
      <c r="E274" s="15" t="s">
        <v>19</v>
      </c>
      <c r="F274" s="16" t="n">
        <v>582.98</v>
      </c>
      <c r="G274" s="16" t="n">
        <v>1371.18</v>
      </c>
      <c r="H274" s="0" t="n">
        <v>8</v>
      </c>
      <c r="I274" s="16" t="n">
        <f aca="false">F274*H274</f>
        <v>4663.84</v>
      </c>
      <c r="J274" s="17" t="n">
        <f aca="false">IF(I274=0,0,G274/I274)</f>
        <v>0.294002367148101</v>
      </c>
    </row>
    <row r="275" customFormat="false" ht="15" hidden="false" customHeight="false" outlineLevel="0" collapsed="false">
      <c r="A275" s="0" t="n">
        <v>1241</v>
      </c>
      <c r="B275" s="14" t="n">
        <v>45619</v>
      </c>
      <c r="C275" s="15" t="s">
        <v>21</v>
      </c>
      <c r="D275" s="15" t="s">
        <v>18</v>
      </c>
      <c r="E275" s="15" t="s">
        <v>19</v>
      </c>
      <c r="F275" s="16" t="n">
        <v>91.27</v>
      </c>
      <c r="G275" s="16" t="n">
        <v>29.89</v>
      </c>
      <c r="H275" s="0" t="n">
        <v>1</v>
      </c>
      <c r="I275" s="16" t="n">
        <f aca="false">F275*H275</f>
        <v>91.27</v>
      </c>
      <c r="J275" s="17" t="n">
        <f aca="false">IF(I275=0,0,G275/I275)</f>
        <v>0.327489865235017</v>
      </c>
    </row>
    <row r="276" customFormat="false" ht="15" hidden="false" customHeight="false" outlineLevel="0" collapsed="false">
      <c r="A276" s="0" t="n">
        <v>1254</v>
      </c>
      <c r="B276" s="14" t="n">
        <v>45620</v>
      </c>
      <c r="C276" s="15" t="s">
        <v>21</v>
      </c>
      <c r="D276" s="15" t="s">
        <v>85</v>
      </c>
      <c r="E276" s="15" t="s">
        <v>23</v>
      </c>
      <c r="F276" s="16" t="n">
        <v>2464.91</v>
      </c>
      <c r="G276" s="16" t="n">
        <v>1128.03</v>
      </c>
      <c r="H276" s="0" t="n">
        <v>2</v>
      </c>
      <c r="I276" s="16" t="n">
        <f aca="false">F276*H276</f>
        <v>4929.82</v>
      </c>
      <c r="J276" s="17" t="n">
        <f aca="false">IF(I276=0,0,G276/I276)</f>
        <v>0.22881768502704</v>
      </c>
    </row>
    <row r="277" customFormat="false" ht="15" hidden="false" customHeight="false" outlineLevel="0" collapsed="false">
      <c r="A277" s="0" t="n">
        <v>1164</v>
      </c>
      <c r="B277" s="14" t="n">
        <v>45620</v>
      </c>
      <c r="C277" s="15" t="s">
        <v>25</v>
      </c>
      <c r="D277" s="15" t="s">
        <v>42</v>
      </c>
      <c r="E277" s="15" t="s">
        <v>35</v>
      </c>
      <c r="F277" s="16" t="n">
        <v>3767.73</v>
      </c>
      <c r="G277" s="16" t="n">
        <v>4250.72</v>
      </c>
      <c r="H277" s="0" t="n">
        <v>11</v>
      </c>
      <c r="I277" s="16" t="n">
        <f aca="false">F277*H277</f>
        <v>41445.03</v>
      </c>
      <c r="J277" s="17" t="n">
        <f aca="false">IF(I277=0,0,G277/I277)</f>
        <v>0.102562840466034</v>
      </c>
    </row>
    <row r="278" customFormat="false" ht="15" hidden="false" customHeight="false" outlineLevel="0" collapsed="false">
      <c r="A278" s="0" t="n">
        <v>1297</v>
      </c>
      <c r="B278" s="14" t="n">
        <v>45620</v>
      </c>
      <c r="C278" s="15" t="s">
        <v>17</v>
      </c>
      <c r="D278" s="15" t="s">
        <v>26</v>
      </c>
      <c r="E278" s="15" t="s">
        <v>19</v>
      </c>
      <c r="F278" s="16" t="n">
        <v>338.38</v>
      </c>
      <c r="G278" s="16" t="n">
        <v>1150.72</v>
      </c>
      <c r="H278" s="0" t="n">
        <v>9</v>
      </c>
      <c r="I278" s="16" t="n">
        <f aca="false">F278*H278</f>
        <v>3045.42</v>
      </c>
      <c r="J278" s="17" t="n">
        <f aca="false">IF(I278=0,0,G278/I278)</f>
        <v>0.377852644298652</v>
      </c>
    </row>
    <row r="279" customFormat="false" ht="15" hidden="false" customHeight="false" outlineLevel="0" collapsed="false">
      <c r="A279" s="0" t="n">
        <v>1261</v>
      </c>
      <c r="B279" s="14" t="n">
        <v>45620</v>
      </c>
      <c r="C279" s="15" t="s">
        <v>21</v>
      </c>
      <c r="D279" s="15" t="s">
        <v>95</v>
      </c>
      <c r="E279" s="15" t="s">
        <v>23</v>
      </c>
      <c r="F279" s="16" t="n">
        <v>2586.9</v>
      </c>
      <c r="G279" s="16" t="n">
        <v>3217.46</v>
      </c>
      <c r="H279" s="0" t="n">
        <v>5</v>
      </c>
      <c r="I279" s="16" t="n">
        <f aca="false">F279*H279</f>
        <v>12934.5</v>
      </c>
      <c r="J279" s="17" t="n">
        <f aca="false">IF(I279=0,0,G279/I279)</f>
        <v>0.248750241601917</v>
      </c>
    </row>
    <row r="280" customFormat="false" ht="15" hidden="false" customHeight="false" outlineLevel="0" collapsed="false">
      <c r="A280" s="0" t="n">
        <v>1058</v>
      </c>
      <c r="B280" s="14" t="n">
        <v>45620</v>
      </c>
      <c r="C280" s="15" t="s">
        <v>21</v>
      </c>
      <c r="D280" s="15" t="s">
        <v>60</v>
      </c>
      <c r="E280" s="15" t="s">
        <v>23</v>
      </c>
      <c r="F280" s="16" t="n">
        <v>2278.81</v>
      </c>
      <c r="G280" s="16" t="n">
        <v>5680.74</v>
      </c>
      <c r="H280" s="0" t="n">
        <v>9</v>
      </c>
      <c r="I280" s="16" t="n">
        <f aca="false">F280*H280</f>
        <v>20509.29</v>
      </c>
      <c r="J280" s="17" t="n">
        <f aca="false">IF(I280=0,0,G280/I280)</f>
        <v>0.276983747365218</v>
      </c>
    </row>
    <row r="281" customFormat="false" ht="15" hidden="false" customHeight="false" outlineLevel="0" collapsed="false">
      <c r="A281" s="0" t="n">
        <v>1243</v>
      </c>
      <c r="B281" s="14" t="n">
        <v>45622</v>
      </c>
      <c r="C281" s="15" t="s">
        <v>25</v>
      </c>
      <c r="D281" s="15" t="s">
        <v>66</v>
      </c>
      <c r="E281" s="15" t="s">
        <v>30</v>
      </c>
      <c r="F281" s="16" t="n">
        <v>5940.43</v>
      </c>
      <c r="G281" s="16" t="n">
        <v>6912.38</v>
      </c>
      <c r="H281" s="0" t="n">
        <v>6</v>
      </c>
      <c r="I281" s="16" t="n">
        <f aca="false">F281*H281</f>
        <v>35642.58</v>
      </c>
      <c r="J281" s="17" t="n">
        <f aca="false">IF(I281=0,0,G281/I281)</f>
        <v>0.193936016977447</v>
      </c>
    </row>
    <row r="282" customFormat="false" ht="15" hidden="false" customHeight="false" outlineLevel="0" collapsed="false">
      <c r="A282" s="0" t="n">
        <v>1003</v>
      </c>
      <c r="B282" s="14" t="n">
        <v>45624</v>
      </c>
      <c r="C282" s="15" t="s">
        <v>25</v>
      </c>
      <c r="D282" s="15" t="s">
        <v>69</v>
      </c>
      <c r="E282" s="15" t="s">
        <v>23</v>
      </c>
      <c r="F282" s="16" t="n">
        <v>2816.28</v>
      </c>
      <c r="G282" s="16" t="n">
        <v>5247.42</v>
      </c>
      <c r="H282" s="0" t="n">
        <v>12</v>
      </c>
      <c r="I282" s="16" t="n">
        <f aca="false">F282*H282</f>
        <v>33795.36</v>
      </c>
      <c r="J282" s="17" t="n">
        <f aca="false">IF(I282=0,0,G282/I282)</f>
        <v>0.155270427656341</v>
      </c>
    </row>
    <row r="283" customFormat="false" ht="15" hidden="false" customHeight="false" outlineLevel="0" collapsed="false">
      <c r="A283" s="0" t="n">
        <v>1085</v>
      </c>
      <c r="B283" s="14" t="n">
        <v>45624</v>
      </c>
      <c r="C283" s="15" t="s">
        <v>25</v>
      </c>
      <c r="D283" s="15" t="s">
        <v>60</v>
      </c>
      <c r="E283" s="15" t="s">
        <v>23</v>
      </c>
      <c r="F283" s="16" t="n">
        <v>3690.56</v>
      </c>
      <c r="G283" s="16" t="n">
        <v>1655.44</v>
      </c>
      <c r="H283" s="0" t="n">
        <v>2</v>
      </c>
      <c r="I283" s="16" t="n">
        <f aca="false">F283*H283</f>
        <v>7381.12</v>
      </c>
      <c r="J283" s="17" t="n">
        <f aca="false">IF(I283=0,0,G283/I283)</f>
        <v>0.224280326020983</v>
      </c>
    </row>
    <row r="284" customFormat="false" ht="15" hidden="false" customHeight="false" outlineLevel="0" collapsed="false">
      <c r="A284" s="0" t="n">
        <v>1260</v>
      </c>
      <c r="B284" s="14" t="n">
        <v>45625</v>
      </c>
      <c r="C284" s="15" t="s">
        <v>21</v>
      </c>
      <c r="D284" s="15" t="s">
        <v>69</v>
      </c>
      <c r="E284" s="15" t="s">
        <v>23</v>
      </c>
      <c r="F284" s="16" t="n">
        <v>3637.75</v>
      </c>
      <c r="G284" s="16" t="n">
        <v>2716</v>
      </c>
      <c r="H284" s="0" t="n">
        <v>4</v>
      </c>
      <c r="I284" s="16" t="n">
        <f aca="false">F284*H284</f>
        <v>14551</v>
      </c>
      <c r="J284" s="17" t="n">
        <f aca="false">IF(I284=0,0,G284/I284)</f>
        <v>0.186653838224177</v>
      </c>
    </row>
    <row r="285" customFormat="false" ht="15" hidden="false" customHeight="false" outlineLevel="0" collapsed="false">
      <c r="A285" s="0" t="n">
        <v>1174</v>
      </c>
      <c r="B285" s="14" t="n">
        <v>45627</v>
      </c>
      <c r="C285" s="15" t="s">
        <v>37</v>
      </c>
      <c r="D285" s="15" t="s">
        <v>42</v>
      </c>
      <c r="E285" s="15" t="s">
        <v>35</v>
      </c>
      <c r="F285" s="16" t="n">
        <v>4974.14</v>
      </c>
      <c r="G285" s="16" t="n">
        <v>9091.55</v>
      </c>
      <c r="H285" s="0" t="n">
        <v>11</v>
      </c>
      <c r="I285" s="16" t="n">
        <f aca="false">F285*H285</f>
        <v>54715.54</v>
      </c>
      <c r="J285" s="17" t="n">
        <f aca="false">IF(I285=0,0,G285/I285)</f>
        <v>0.166160290111365</v>
      </c>
    </row>
    <row r="286" customFormat="false" ht="15" hidden="false" customHeight="false" outlineLevel="0" collapsed="false">
      <c r="A286" s="0" t="n">
        <v>1057</v>
      </c>
      <c r="B286" s="14" t="n">
        <v>45629</v>
      </c>
      <c r="C286" s="15" t="s">
        <v>37</v>
      </c>
      <c r="D286" s="15" t="s">
        <v>29</v>
      </c>
      <c r="E286" s="15" t="s">
        <v>30</v>
      </c>
      <c r="F286" s="16" t="n">
        <v>6285.43</v>
      </c>
      <c r="G286" s="16" t="n">
        <v>2851.88</v>
      </c>
      <c r="H286" s="0" t="n">
        <v>4</v>
      </c>
      <c r="I286" s="16" t="n">
        <f aca="false">F286*H286</f>
        <v>25141.72</v>
      </c>
      <c r="J286" s="17" t="n">
        <f aca="false">IF(I286=0,0,G286/I286)</f>
        <v>0.113432175682491</v>
      </c>
    </row>
    <row r="287" customFormat="false" ht="15" hidden="false" customHeight="false" outlineLevel="0" collapsed="false">
      <c r="A287" s="0" t="n">
        <v>1213</v>
      </c>
      <c r="B287" s="14" t="n">
        <v>45630</v>
      </c>
      <c r="C287" s="15" t="s">
        <v>37</v>
      </c>
      <c r="D287" s="15" t="s">
        <v>69</v>
      </c>
      <c r="E287" s="15" t="s">
        <v>23</v>
      </c>
      <c r="F287" s="16" t="n">
        <v>4042.65</v>
      </c>
      <c r="G287" s="16" t="n">
        <v>5309.25</v>
      </c>
      <c r="H287" s="0" t="n">
        <v>6</v>
      </c>
      <c r="I287" s="16" t="n">
        <f aca="false">F287*H287</f>
        <v>24255.9</v>
      </c>
      <c r="J287" s="17" t="n">
        <f aca="false">IF(I287=0,0,G287/I287)</f>
        <v>0.218884889861848</v>
      </c>
    </row>
    <row r="288" customFormat="false" ht="15" hidden="false" customHeight="false" outlineLevel="0" collapsed="false">
      <c r="A288" s="0" t="n">
        <v>1064</v>
      </c>
      <c r="B288" s="14" t="n">
        <v>45632</v>
      </c>
      <c r="C288" s="15" t="s">
        <v>17</v>
      </c>
      <c r="D288" s="15" t="s">
        <v>29</v>
      </c>
      <c r="E288" s="15" t="s">
        <v>30</v>
      </c>
      <c r="F288" s="16" t="n">
        <v>8934.52</v>
      </c>
      <c r="G288" s="16" t="n">
        <v>11778.88</v>
      </c>
      <c r="H288" s="0" t="n">
        <v>7</v>
      </c>
      <c r="I288" s="16" t="n">
        <f aca="false">F288*H288</f>
        <v>62541.64</v>
      </c>
      <c r="J288" s="17" t="n">
        <f aca="false">IF(I288=0,0,G288/I288)</f>
        <v>0.188336602621869</v>
      </c>
    </row>
    <row r="289" customFormat="false" ht="15" hidden="false" customHeight="false" outlineLevel="0" collapsed="false">
      <c r="A289" s="0" t="n">
        <v>1249</v>
      </c>
      <c r="B289" s="14" t="n">
        <v>45633</v>
      </c>
      <c r="C289" s="15" t="s">
        <v>21</v>
      </c>
      <c r="D289" s="15" t="s">
        <v>42</v>
      </c>
      <c r="E289" s="15" t="s">
        <v>35</v>
      </c>
      <c r="F289" s="16" t="n">
        <v>4251.02</v>
      </c>
      <c r="G289" s="16" t="n">
        <v>4234.01</v>
      </c>
      <c r="H289" s="0" t="n">
        <v>6</v>
      </c>
      <c r="I289" s="16" t="n">
        <f aca="false">F289*H289</f>
        <v>25506.12</v>
      </c>
      <c r="J289" s="17" t="n">
        <f aca="false">IF(I289=0,0,G289/I289)</f>
        <v>0.165999767898842</v>
      </c>
    </row>
    <row r="290" customFormat="false" ht="15" hidden="false" customHeight="false" outlineLevel="0" collapsed="false">
      <c r="A290" s="0" t="n">
        <v>1303</v>
      </c>
      <c r="B290" s="14" t="n">
        <v>45633</v>
      </c>
      <c r="C290" s="15" t="s">
        <v>37</v>
      </c>
      <c r="D290" s="15" t="s">
        <v>51</v>
      </c>
      <c r="E290" s="15" t="s">
        <v>19</v>
      </c>
      <c r="F290" s="16" t="n">
        <v>305.97</v>
      </c>
      <c r="G290" s="16" t="n">
        <v>141.94</v>
      </c>
      <c r="H290" s="0" t="n">
        <v>2</v>
      </c>
      <c r="I290" s="16" t="n">
        <f aca="false">F290*H290</f>
        <v>611.94</v>
      </c>
      <c r="J290" s="17" t="n">
        <f aca="false">IF(I290=0,0,G290/I290)</f>
        <v>0.231950844854071</v>
      </c>
    </row>
    <row r="291" customFormat="false" ht="15" hidden="false" customHeight="false" outlineLevel="0" collapsed="false">
      <c r="A291" s="0" t="n">
        <v>1063</v>
      </c>
      <c r="B291" s="14" t="n">
        <v>45633</v>
      </c>
      <c r="C291" s="15" t="s">
        <v>21</v>
      </c>
      <c r="D291" s="15" t="s">
        <v>60</v>
      </c>
      <c r="E291" s="15" t="s">
        <v>23</v>
      </c>
      <c r="F291" s="16" t="n">
        <v>2006.88</v>
      </c>
      <c r="G291" s="16" t="n">
        <v>3252.9</v>
      </c>
      <c r="H291" s="0" t="n">
        <v>7</v>
      </c>
      <c r="I291" s="16" t="n">
        <f aca="false">F291*H291</f>
        <v>14048.16</v>
      </c>
      <c r="J291" s="17" t="n">
        <f aca="false">IF(I291=0,0,G291/I291)</f>
        <v>0.231553456110978</v>
      </c>
    </row>
    <row r="292" customFormat="false" ht="15" hidden="false" customHeight="false" outlineLevel="0" collapsed="false">
      <c r="A292" s="0" t="n">
        <v>1120</v>
      </c>
      <c r="B292" s="14" t="n">
        <v>45635</v>
      </c>
      <c r="C292" s="15" t="s">
        <v>21</v>
      </c>
      <c r="D292" s="15" t="s">
        <v>45</v>
      </c>
      <c r="E292" s="15" t="s">
        <v>35</v>
      </c>
      <c r="F292" s="16" t="n">
        <v>4888.25</v>
      </c>
      <c r="G292" s="16" t="n">
        <v>1364.57</v>
      </c>
      <c r="H292" s="0" t="n">
        <v>2</v>
      </c>
      <c r="I292" s="16" t="n">
        <f aca="false">F292*H292</f>
        <v>9776.5</v>
      </c>
      <c r="J292" s="17" t="n">
        <f aca="false">IF(I292=0,0,G292/I292)</f>
        <v>0.139576535569989</v>
      </c>
    </row>
    <row r="293" customFormat="false" ht="15" hidden="false" customHeight="false" outlineLevel="0" collapsed="false">
      <c r="A293" s="0" t="n">
        <v>1042</v>
      </c>
      <c r="B293" s="14" t="n">
        <v>45635</v>
      </c>
      <c r="C293" s="15" t="s">
        <v>25</v>
      </c>
      <c r="D293" s="15" t="s">
        <v>18</v>
      </c>
      <c r="E293" s="15" t="s">
        <v>19</v>
      </c>
      <c r="F293" s="16" t="n">
        <v>215</v>
      </c>
      <c r="G293" s="16" t="n">
        <v>622.55</v>
      </c>
      <c r="H293" s="0" t="n">
        <v>11</v>
      </c>
      <c r="I293" s="16" t="n">
        <f aca="false">F293*H293</f>
        <v>2365</v>
      </c>
      <c r="J293" s="17" t="n">
        <f aca="false">IF(I293=0,0,G293/I293)</f>
        <v>0.26323467230444</v>
      </c>
    </row>
    <row r="294" customFormat="false" ht="15" hidden="false" customHeight="false" outlineLevel="0" collapsed="false">
      <c r="A294" s="0" t="n">
        <v>1186</v>
      </c>
      <c r="B294" s="14" t="n">
        <v>45637</v>
      </c>
      <c r="C294" s="15" t="s">
        <v>37</v>
      </c>
      <c r="D294" s="15" t="s">
        <v>29</v>
      </c>
      <c r="E294" s="15" t="s">
        <v>30</v>
      </c>
      <c r="F294" s="16" t="n">
        <v>5084.98</v>
      </c>
      <c r="G294" s="16" t="n">
        <v>1621.42</v>
      </c>
      <c r="H294" s="0" t="n">
        <v>2</v>
      </c>
      <c r="I294" s="16" t="n">
        <f aca="false">F294*H294</f>
        <v>10169.96</v>
      </c>
      <c r="J294" s="17" t="n">
        <f aca="false">IF(I294=0,0,G294/I294)</f>
        <v>0.159432288819228</v>
      </c>
    </row>
    <row r="295" customFormat="false" ht="15" hidden="false" customHeight="false" outlineLevel="0" collapsed="false">
      <c r="A295" s="0" t="n">
        <v>1144</v>
      </c>
      <c r="B295" s="14" t="n">
        <v>45638</v>
      </c>
      <c r="C295" s="15" t="s">
        <v>21</v>
      </c>
      <c r="D295" s="15" t="s">
        <v>95</v>
      </c>
      <c r="E295" s="15" t="s">
        <v>23</v>
      </c>
      <c r="F295" s="16" t="n">
        <v>1384.51</v>
      </c>
      <c r="G295" s="16" t="n">
        <v>2375.94</v>
      </c>
      <c r="H295" s="0" t="n">
        <v>9</v>
      </c>
      <c r="I295" s="16" t="n">
        <f aca="false">F295*H295</f>
        <v>12460.59</v>
      </c>
      <c r="J295" s="17" t="n">
        <f aca="false">IF(I295=0,0,G295/I295)</f>
        <v>0.190676364441812</v>
      </c>
    </row>
    <row r="296" customFormat="false" ht="15" hidden="false" customHeight="false" outlineLevel="0" collapsed="false">
      <c r="A296" s="0" t="n">
        <v>1244</v>
      </c>
      <c r="B296" s="14" t="n">
        <v>45639</v>
      </c>
      <c r="C296" s="15" t="s">
        <v>25</v>
      </c>
      <c r="D296" s="15" t="s">
        <v>69</v>
      </c>
      <c r="E296" s="15" t="s">
        <v>23</v>
      </c>
      <c r="F296" s="16" t="n">
        <v>4310.65</v>
      </c>
      <c r="G296" s="16" t="n">
        <v>6190.86</v>
      </c>
      <c r="H296" s="0" t="n">
        <v>8</v>
      </c>
      <c r="I296" s="16" t="n">
        <f aca="false">F296*H296</f>
        <v>34485.2</v>
      </c>
      <c r="J296" s="17" t="n">
        <f aca="false">IF(I296=0,0,G296/I296)</f>
        <v>0.179522229826128</v>
      </c>
    </row>
    <row r="297" customFormat="false" ht="15" hidden="false" customHeight="false" outlineLevel="0" collapsed="false">
      <c r="A297" s="0" t="n">
        <v>1217</v>
      </c>
      <c r="B297" s="14" t="n">
        <v>45639</v>
      </c>
      <c r="C297" s="15" t="s">
        <v>21</v>
      </c>
      <c r="D297" s="15" t="s">
        <v>42</v>
      </c>
      <c r="E297" s="15" t="s">
        <v>35</v>
      </c>
      <c r="F297" s="16" t="n">
        <v>5433.09</v>
      </c>
      <c r="G297" s="16" t="n">
        <v>8443.11</v>
      </c>
      <c r="H297" s="0" t="n">
        <v>10</v>
      </c>
      <c r="I297" s="16" t="n">
        <f aca="false">F297*H297</f>
        <v>54330.9</v>
      </c>
      <c r="J297" s="17" t="n">
        <f aca="false">IF(I297=0,0,G297/I297)</f>
        <v>0.155401622281243</v>
      </c>
    </row>
    <row r="298" customFormat="false" ht="15" hidden="false" customHeight="false" outlineLevel="0" collapsed="false">
      <c r="A298" s="0" t="n">
        <v>1017</v>
      </c>
      <c r="B298" s="14" t="n">
        <v>45641</v>
      </c>
      <c r="C298" s="15" t="s">
        <v>37</v>
      </c>
      <c r="D298" s="15" t="s">
        <v>32</v>
      </c>
      <c r="E298" s="15" t="s">
        <v>19</v>
      </c>
      <c r="F298" s="16" t="n">
        <v>462.98</v>
      </c>
      <c r="G298" s="16" t="n">
        <v>1473.89</v>
      </c>
      <c r="H298" s="0" t="n">
        <v>9</v>
      </c>
      <c r="I298" s="16" t="n">
        <f aca="false">F298*H298</f>
        <v>4166.82</v>
      </c>
      <c r="J298" s="17" t="n">
        <f aca="false">IF(I298=0,0,G298/I298)</f>
        <v>0.353720583082543</v>
      </c>
    </row>
    <row r="299" customFormat="false" ht="15" hidden="false" customHeight="false" outlineLevel="0" collapsed="false">
      <c r="A299" s="0" t="n">
        <v>1162</v>
      </c>
      <c r="B299" s="14" t="n">
        <v>45643</v>
      </c>
      <c r="C299" s="15" t="s">
        <v>37</v>
      </c>
      <c r="D299" s="15" t="s">
        <v>53</v>
      </c>
      <c r="E299" s="15" t="s">
        <v>30</v>
      </c>
      <c r="F299" s="16" t="n">
        <v>7672.43</v>
      </c>
      <c r="G299" s="16" t="n">
        <v>9084.51</v>
      </c>
      <c r="H299" s="0" t="n">
        <v>6</v>
      </c>
      <c r="I299" s="16" t="n">
        <f aca="false">F299*H299</f>
        <v>46034.58</v>
      </c>
      <c r="J299" s="17" t="n">
        <f aca="false">IF(I299=0,0,G299/I299)</f>
        <v>0.197340998875193</v>
      </c>
    </row>
    <row r="300" customFormat="false" ht="15" hidden="false" customHeight="false" outlineLevel="0" collapsed="false">
      <c r="A300" s="0" t="n">
        <v>1145</v>
      </c>
      <c r="B300" s="14" t="n">
        <v>45645</v>
      </c>
      <c r="C300" s="15" t="s">
        <v>17</v>
      </c>
      <c r="D300" s="15" t="s">
        <v>26</v>
      </c>
      <c r="E300" s="15" t="s">
        <v>19</v>
      </c>
      <c r="F300" s="16" t="n">
        <v>301.26</v>
      </c>
      <c r="G300" s="16" t="n">
        <v>392.28</v>
      </c>
      <c r="H300" s="0" t="n">
        <v>5</v>
      </c>
      <c r="I300" s="16" t="n">
        <f aca="false">F300*H300</f>
        <v>1506.3</v>
      </c>
      <c r="J300" s="17" t="n">
        <f aca="false">IF(I300=0,0,G300/I300)</f>
        <v>0.260426209918343</v>
      </c>
    </row>
    <row r="301" customFormat="false" ht="15" hidden="false" customHeight="false" outlineLevel="0" collapsed="false">
      <c r="A301" s="0" t="n">
        <v>1161</v>
      </c>
      <c r="B301" s="14" t="n">
        <v>45645</v>
      </c>
      <c r="C301" s="15" t="s">
        <v>37</v>
      </c>
      <c r="D301" s="15" t="s">
        <v>45</v>
      </c>
      <c r="E301" s="15" t="s">
        <v>35</v>
      </c>
      <c r="F301" s="16" t="n">
        <v>2134.26</v>
      </c>
      <c r="G301" s="16" t="n">
        <v>1963.91</v>
      </c>
      <c r="H301" s="0" t="n">
        <v>6</v>
      </c>
      <c r="I301" s="16" t="n">
        <f aca="false">F301*H301</f>
        <v>12805.56</v>
      </c>
      <c r="J301" s="17" t="n">
        <f aca="false">IF(I301=0,0,G301/I301)</f>
        <v>0.15336385132708</v>
      </c>
    </row>
    <row r="302" customFormat="false" ht="15" hidden="false" customHeight="false" outlineLevel="0" collapsed="false">
      <c r="A302" s="0" t="n">
        <v>1286</v>
      </c>
      <c r="B302" s="14" t="n">
        <v>45645</v>
      </c>
      <c r="C302" s="15" t="s">
        <v>25</v>
      </c>
      <c r="D302" s="15" t="s">
        <v>26</v>
      </c>
      <c r="E302" s="15" t="s">
        <v>19</v>
      </c>
      <c r="F302" s="16" t="n">
        <v>318.95</v>
      </c>
      <c r="G302" s="16" t="n">
        <v>1132.76</v>
      </c>
      <c r="H302" s="0" t="n">
        <v>12</v>
      </c>
      <c r="I302" s="16" t="n">
        <f aca="false">F302*H302</f>
        <v>3827.4</v>
      </c>
      <c r="J302" s="17" t="n">
        <f aca="false">IF(I302=0,0,G302/I302)</f>
        <v>0.295960704394628</v>
      </c>
    </row>
    <row r="303" customFormat="false" ht="15" hidden="false" customHeight="false" outlineLevel="0" collapsed="false">
      <c r="A303" s="0" t="n">
        <v>1224</v>
      </c>
      <c r="B303" s="14" t="n">
        <v>45648</v>
      </c>
      <c r="C303" s="15" t="s">
        <v>17</v>
      </c>
      <c r="D303" s="15" t="s">
        <v>60</v>
      </c>
      <c r="E303" s="15" t="s">
        <v>23</v>
      </c>
      <c r="F303" s="16" t="n">
        <v>3607.71</v>
      </c>
      <c r="G303" s="16" t="n">
        <v>2111.13</v>
      </c>
      <c r="H303" s="0" t="n">
        <v>3</v>
      </c>
      <c r="I303" s="16" t="n">
        <f aca="false">F303*H303</f>
        <v>10823.13</v>
      </c>
      <c r="J303" s="17" t="n">
        <f aca="false">IF(I303=0,0,G303/I303)</f>
        <v>0.195057252384477</v>
      </c>
    </row>
    <row r="304" customFormat="false" ht="15" hidden="false" customHeight="false" outlineLevel="0" collapsed="false">
      <c r="A304" s="0" t="n">
        <v>1036</v>
      </c>
      <c r="B304" s="14" t="n">
        <v>45648</v>
      </c>
      <c r="C304" s="15" t="s">
        <v>17</v>
      </c>
      <c r="D304" s="15" t="s">
        <v>45</v>
      </c>
      <c r="E304" s="15" t="s">
        <v>35</v>
      </c>
      <c r="F304" s="16" t="n">
        <v>5480.32</v>
      </c>
      <c r="G304" s="16" t="n">
        <v>10962.32</v>
      </c>
      <c r="H304" s="0" t="n">
        <v>12</v>
      </c>
      <c r="I304" s="16" t="n">
        <f aca="false">F304*H304</f>
        <v>65763.84</v>
      </c>
      <c r="J304" s="17" t="n">
        <f aca="false">IF(I304=0,0,G304/I304)</f>
        <v>0.166692212620188</v>
      </c>
    </row>
    <row r="305" customFormat="false" ht="15" hidden="false" customHeight="false" outlineLevel="0" collapsed="false">
      <c r="A305" s="0" t="n">
        <v>1132</v>
      </c>
      <c r="B305" s="14" t="n">
        <v>45649</v>
      </c>
      <c r="C305" s="15" t="s">
        <v>25</v>
      </c>
      <c r="D305" s="15" t="s">
        <v>45</v>
      </c>
      <c r="E305" s="15" t="s">
        <v>35</v>
      </c>
      <c r="F305" s="16" t="n">
        <v>3658.73</v>
      </c>
      <c r="G305" s="16" t="n">
        <v>1873.67</v>
      </c>
      <c r="H305" s="0" t="n">
        <v>4</v>
      </c>
      <c r="I305" s="16" t="n">
        <f aca="false">F305*H305</f>
        <v>14634.92</v>
      </c>
      <c r="J305" s="17" t="n">
        <f aca="false">IF(I305=0,0,G305/I305)</f>
        <v>0.128027348287521</v>
      </c>
    </row>
    <row r="306" customFormat="false" ht="15" hidden="false" customHeight="false" outlineLevel="0" collapsed="false">
      <c r="A306" s="0" t="n">
        <v>1004</v>
      </c>
      <c r="B306" s="14" t="n">
        <v>45649</v>
      </c>
      <c r="C306" s="15" t="s">
        <v>25</v>
      </c>
      <c r="D306" s="15" t="s">
        <v>32</v>
      </c>
      <c r="E306" s="15" t="s">
        <v>19</v>
      </c>
      <c r="F306" s="16" t="n">
        <v>237.14</v>
      </c>
      <c r="G306" s="16" t="n">
        <v>383.61</v>
      </c>
      <c r="H306" s="0" t="n">
        <v>7</v>
      </c>
      <c r="I306" s="16" t="n">
        <f aca="false">F306*H306</f>
        <v>1659.98</v>
      </c>
      <c r="J306" s="17" t="n">
        <f aca="false">IF(I306=0,0,G306/I306)</f>
        <v>0.231093145700551</v>
      </c>
    </row>
    <row r="307" customFormat="false" ht="15" hidden="false" customHeight="false" outlineLevel="0" collapsed="false">
      <c r="A307" s="0" t="n">
        <v>1157</v>
      </c>
      <c r="B307" s="14" t="n">
        <v>45650</v>
      </c>
      <c r="C307" s="15" t="s">
        <v>17</v>
      </c>
      <c r="D307" s="15" t="s">
        <v>66</v>
      </c>
      <c r="E307" s="15" t="s">
        <v>30</v>
      </c>
      <c r="F307" s="16" t="n">
        <v>8667.77</v>
      </c>
      <c r="G307" s="16" t="n">
        <v>4073.9</v>
      </c>
      <c r="H307" s="0" t="n">
        <v>5</v>
      </c>
      <c r="I307" s="16" t="n">
        <f aca="false">F307*H307</f>
        <v>43338.85</v>
      </c>
      <c r="J307" s="17" t="n">
        <f aca="false">IF(I307=0,0,G307/I307)</f>
        <v>0.0940011098587064</v>
      </c>
    </row>
    <row r="308" customFormat="false" ht="15" hidden="false" customHeight="false" outlineLevel="0" collapsed="false">
      <c r="A308" s="0" t="n">
        <v>1055</v>
      </c>
      <c r="B308" s="14" t="n">
        <v>45651</v>
      </c>
      <c r="C308" s="15" t="s">
        <v>25</v>
      </c>
      <c r="D308" s="15" t="s">
        <v>53</v>
      </c>
      <c r="E308" s="15" t="s">
        <v>30</v>
      </c>
      <c r="F308" s="16" t="n">
        <v>6134.15</v>
      </c>
      <c r="G308" s="16" t="n">
        <v>1038.47</v>
      </c>
      <c r="H308" s="0" t="n">
        <v>2</v>
      </c>
      <c r="I308" s="16" t="n">
        <f aca="false">F308*H308</f>
        <v>12268.3</v>
      </c>
      <c r="J308" s="17" t="n">
        <f aca="false">IF(I308=0,0,G308/I308)</f>
        <v>0.084646609554706</v>
      </c>
    </row>
    <row r="309" customFormat="false" ht="15" hidden="false" customHeight="false" outlineLevel="0" collapsed="false">
      <c r="A309" s="0" t="n">
        <v>1247</v>
      </c>
      <c r="B309" s="14" t="n">
        <v>45652</v>
      </c>
      <c r="C309" s="15" t="s">
        <v>21</v>
      </c>
      <c r="D309" s="15" t="s">
        <v>60</v>
      </c>
      <c r="E309" s="15" t="s">
        <v>23</v>
      </c>
      <c r="F309" s="16" t="n">
        <v>1593.91</v>
      </c>
      <c r="G309" s="16" t="n">
        <v>2778.51</v>
      </c>
      <c r="H309" s="0" t="n">
        <v>8</v>
      </c>
      <c r="I309" s="16" t="n">
        <f aca="false">F309*H309</f>
        <v>12751.28</v>
      </c>
      <c r="J309" s="17" t="n">
        <f aca="false">IF(I309=0,0,G309/I309)</f>
        <v>0.217900477442265</v>
      </c>
    </row>
    <row r="310" customFormat="false" ht="15" hidden="false" customHeight="false" outlineLevel="0" collapsed="false">
      <c r="A310" s="0" t="n">
        <v>1007</v>
      </c>
      <c r="B310" s="14" t="n">
        <v>45652</v>
      </c>
      <c r="C310" s="15" t="s">
        <v>25</v>
      </c>
      <c r="D310" s="15" t="s">
        <v>26</v>
      </c>
      <c r="E310" s="15" t="s">
        <v>19</v>
      </c>
      <c r="F310" s="16" t="n">
        <v>75.2</v>
      </c>
      <c r="G310" s="16" t="n">
        <v>36.94</v>
      </c>
      <c r="H310" s="0" t="n">
        <v>2</v>
      </c>
      <c r="I310" s="16" t="n">
        <f aca="false">F310*H310</f>
        <v>150.4</v>
      </c>
      <c r="J310" s="17" t="n">
        <f aca="false">IF(I310=0,0,G310/I310)</f>
        <v>0.24561170212766</v>
      </c>
    </row>
    <row r="311" customFormat="false" ht="15" hidden="false" customHeight="false" outlineLevel="0" collapsed="false">
      <c r="A311" s="0" t="n">
        <v>1283</v>
      </c>
      <c r="B311" s="14" t="n">
        <v>45653</v>
      </c>
      <c r="C311" s="15" t="s">
        <v>37</v>
      </c>
      <c r="D311" s="15" t="s">
        <v>34</v>
      </c>
      <c r="E311" s="15" t="s">
        <v>35</v>
      </c>
      <c r="F311" s="16" t="n">
        <v>3430.34</v>
      </c>
      <c r="G311" s="16" t="n">
        <v>1721.75</v>
      </c>
      <c r="H311" s="0" t="n">
        <v>3</v>
      </c>
      <c r="I311" s="16" t="n">
        <f aca="false">F311*H311</f>
        <v>10291.02</v>
      </c>
      <c r="J311" s="17" t="n">
        <f aca="false">IF(I311=0,0,G311/I311)</f>
        <v>0.167306059068975</v>
      </c>
    </row>
    <row r="312" customFormat="false" ht="15" hidden="false" customHeight="false" outlineLevel="0" collapsed="false">
      <c r="A312" s="0" t="n">
        <v>1277</v>
      </c>
      <c r="B312" s="14" t="n">
        <v>45654</v>
      </c>
      <c r="C312" s="15" t="s">
        <v>17</v>
      </c>
      <c r="D312" s="15" t="s">
        <v>26</v>
      </c>
      <c r="E312" s="15" t="s">
        <v>19</v>
      </c>
      <c r="F312" s="16" t="n">
        <v>214.88</v>
      </c>
      <c r="G312" s="16" t="n">
        <v>780.34</v>
      </c>
      <c r="H312" s="0" t="n">
        <v>10</v>
      </c>
      <c r="I312" s="16" t="n">
        <f aca="false">F312*H312</f>
        <v>2148.8</v>
      </c>
      <c r="J312" s="17" t="n">
        <f aca="false">IF(I312=0,0,G312/I312)</f>
        <v>0.363151526433358</v>
      </c>
    </row>
    <row r="313" customFormat="false" ht="15" hidden="false" customHeight="false" outlineLevel="0" collapsed="false">
      <c r="A313" s="0" t="n">
        <v>1193</v>
      </c>
      <c r="B313" s="14" t="n">
        <v>45655</v>
      </c>
      <c r="C313" s="15" t="s">
        <v>17</v>
      </c>
      <c r="D313" s="15" t="s">
        <v>18</v>
      </c>
      <c r="E313" s="15" t="s">
        <v>19</v>
      </c>
      <c r="F313" s="16" t="n">
        <v>279.73</v>
      </c>
      <c r="G313" s="16" t="n">
        <v>686.28</v>
      </c>
      <c r="H313" s="0" t="n">
        <v>11</v>
      </c>
      <c r="I313" s="16" t="n">
        <f aca="false">F313*H313</f>
        <v>3077.03</v>
      </c>
      <c r="J313" s="17" t="n">
        <f aca="false">IF(I313=0,0,G313/I313)</f>
        <v>0.223033249594577</v>
      </c>
    </row>
    <row r="314" customFormat="false" ht="15" hidden="false" customHeight="false" outlineLevel="0" collapsed="false">
      <c r="A314" s="0" t="n">
        <v>1250</v>
      </c>
      <c r="B314" s="14" t="n">
        <v>45656</v>
      </c>
      <c r="C314" s="15" t="s">
        <v>25</v>
      </c>
      <c r="D314" s="15" t="s">
        <v>26</v>
      </c>
      <c r="E314" s="15" t="s">
        <v>19</v>
      </c>
      <c r="F314" s="16" t="n">
        <v>560.03</v>
      </c>
      <c r="G314" s="16" t="n">
        <v>2201.19</v>
      </c>
      <c r="H314" s="0" t="n">
        <v>12</v>
      </c>
      <c r="I314" s="16" t="n">
        <f aca="false">F314*H314</f>
        <v>6720.36</v>
      </c>
      <c r="J314" s="17" t="n">
        <f aca="false">IF(I314=0,0,G314/I314)</f>
        <v>0.32754048890238</v>
      </c>
    </row>
    <row r="315" customFormat="false" ht="15" hidden="false" customHeight="false" outlineLevel="0" collapsed="false">
      <c r="A315" s="0" t="n">
        <v>1223</v>
      </c>
      <c r="B315" s="14" t="n">
        <v>45657</v>
      </c>
      <c r="C315" s="15" t="s">
        <v>37</v>
      </c>
      <c r="D315" s="15" t="s">
        <v>60</v>
      </c>
      <c r="E315" s="15" t="s">
        <v>23</v>
      </c>
      <c r="F315" s="16" t="n">
        <v>2040.57</v>
      </c>
      <c r="G315" s="16" t="n">
        <v>3218.07</v>
      </c>
      <c r="H315" s="0" t="n">
        <v>11</v>
      </c>
      <c r="I315" s="16" t="n">
        <f aca="false">F315*H315</f>
        <v>22446.27</v>
      </c>
      <c r="J315" s="17" t="n">
        <f aca="false">IF(I315=0,0,G315/I315)</f>
        <v>0.143367695389924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3" t="s">
        <v>10</v>
      </c>
      <c r="B1" s="13" t="s">
        <v>256</v>
      </c>
      <c r="C1" s="13" t="s">
        <v>3</v>
      </c>
      <c r="D1" s="13" t="s">
        <v>257</v>
      </c>
    </row>
    <row r="2" customFormat="false" ht="15" hidden="false" customHeight="false" outlineLevel="0" collapsed="false">
      <c r="A2" s="0" t="s">
        <v>21</v>
      </c>
      <c r="B2" s="18" t="n">
        <f aca="false">SUMIF(Cleaned_Data!$C$2:$C$315,A2,Cleaned_Data!$I$2:$I$315)</f>
        <v>1772409.14</v>
      </c>
      <c r="C2" s="18" t="n">
        <f aca="false">SUMIF(Cleaned_Data!$C$2:$C$315,A2,Cleaned_Data!$G$2:$G$315)</f>
        <v>283781.87</v>
      </c>
      <c r="D2" s="15" t="n">
        <f aca="false">COUNTIF(Cleaned_Data!$C$2:$C$315,A2)</f>
        <v>69</v>
      </c>
    </row>
    <row r="3" customFormat="false" ht="15" hidden="false" customHeight="false" outlineLevel="0" collapsed="false">
      <c r="A3" s="0" t="s">
        <v>37</v>
      </c>
      <c r="B3" s="18" t="n">
        <f aca="false">SUMIF(Cleaned_Data!$C$2:$C$315,A3,Cleaned_Data!$I$2:$I$315)</f>
        <v>1813985.04</v>
      </c>
      <c r="C3" s="18" t="n">
        <f aca="false">SUMIF(Cleaned_Data!$C$2:$C$315,A3,Cleaned_Data!$G$2:$G$315)</f>
        <v>297072.02</v>
      </c>
      <c r="D3" s="15" t="n">
        <f aca="false">COUNTIF(Cleaned_Data!$C$2:$C$315,A3)</f>
        <v>88</v>
      </c>
    </row>
    <row r="4" customFormat="false" ht="15" hidden="false" customHeight="false" outlineLevel="0" collapsed="false">
      <c r="A4" s="0" t="s">
        <v>25</v>
      </c>
      <c r="B4" s="18" t="n">
        <f aca="false">SUMIF(Cleaned_Data!$C$2:$C$315,A4,Cleaned_Data!$I$2:$I$315)</f>
        <v>1608310.79</v>
      </c>
      <c r="C4" s="18" t="n">
        <f aca="false">SUMIF(Cleaned_Data!$C$2:$C$315,A4,Cleaned_Data!$G$2:$G$315)</f>
        <v>277412.26</v>
      </c>
      <c r="D4" s="15" t="n">
        <f aca="false">COUNTIF(Cleaned_Data!$C$2:$C$315,A4)</f>
        <v>77</v>
      </c>
    </row>
    <row r="5" customFormat="false" ht="15" hidden="false" customHeight="false" outlineLevel="0" collapsed="false">
      <c r="A5" s="0" t="s">
        <v>255</v>
      </c>
      <c r="B5" s="18" t="n">
        <f aca="false">SUMIF(Cleaned_Data!$C$2:$C$315,A5,Cleaned_Data!$I$2:$I$315)</f>
        <v>23244.58</v>
      </c>
      <c r="C5" s="18" t="n">
        <f aca="false">SUMIF(Cleaned_Data!$C$2:$C$315,A5,Cleaned_Data!$G$2:$G$315)</f>
        <v>4715.17</v>
      </c>
      <c r="D5" s="15" t="n">
        <f aca="false">COUNTIF(Cleaned_Data!$C$2:$C$315,A5)</f>
        <v>2</v>
      </c>
    </row>
    <row r="6" customFormat="false" ht="15" hidden="false" customHeight="false" outlineLevel="0" collapsed="false">
      <c r="A6" s="0" t="s">
        <v>17</v>
      </c>
      <c r="B6" s="18" t="n">
        <f aca="false">SUMIF(Cleaned_Data!$C$2:$C$315,A6,Cleaned_Data!$I$2:$I$315)</f>
        <v>1631017.11</v>
      </c>
      <c r="C6" s="18" t="n">
        <f aca="false">SUMIF(Cleaned_Data!$C$2:$C$315,A6,Cleaned_Data!$G$2:$G$315)</f>
        <v>279020.33</v>
      </c>
      <c r="D6" s="15" t="n">
        <f aca="false">COUNTIF(Cleaned_Data!$C$2:$C$315,A6)</f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3" t="s">
        <v>11</v>
      </c>
      <c r="B1" s="13" t="s">
        <v>256</v>
      </c>
      <c r="C1" s="13" t="s">
        <v>258</v>
      </c>
    </row>
    <row r="2" customFormat="false" ht="15" hidden="false" customHeight="false" outlineLevel="0" collapsed="false">
      <c r="A2" s="0" t="s">
        <v>66</v>
      </c>
      <c r="B2" s="18" t="n">
        <f aca="false">SUMIF(Cleaned_Data!$D$2:$D$315,A2,Cleaned_Data!$I$2:$I$315)</f>
        <v>1023260.96</v>
      </c>
      <c r="C2" s="15" t="n">
        <f aca="false">SUMIF(Cleaned_Data!$D$2:$D$315,A2,Cleaned_Data!$H$2:$H$315)</f>
        <v>125</v>
      </c>
    </row>
    <row r="3" customFormat="false" ht="15" hidden="false" customHeight="false" outlineLevel="0" collapsed="false">
      <c r="A3" s="0" t="s">
        <v>53</v>
      </c>
      <c r="B3" s="18" t="n">
        <f aca="false">SUMIF(Cleaned_Data!$D$2:$D$315,A3,Cleaned_Data!$I$2:$I$315)</f>
        <v>921004.07</v>
      </c>
      <c r="C3" s="15" t="n">
        <f aca="false">SUMIF(Cleaned_Data!$D$2:$D$315,A3,Cleaned_Data!$H$2:$H$315)</f>
        <v>127</v>
      </c>
    </row>
    <row r="4" customFormat="false" ht="15" hidden="false" customHeight="false" outlineLevel="0" collapsed="false">
      <c r="A4" s="0" t="s">
        <v>47</v>
      </c>
      <c r="B4" s="18" t="n">
        <f aca="false">SUMIF(Cleaned_Data!$D$2:$D$315,A4,Cleaned_Data!$I$2:$I$315)</f>
        <v>841772.92</v>
      </c>
      <c r="C4" s="15" t="n">
        <f aca="false">SUMIF(Cleaned_Data!$D$2:$D$315,A4,Cleaned_Data!$H$2:$H$315)</f>
        <v>106</v>
      </c>
    </row>
    <row r="5" customFormat="false" ht="15" hidden="false" customHeight="false" outlineLevel="0" collapsed="false">
      <c r="A5" s="0" t="s">
        <v>42</v>
      </c>
      <c r="B5" s="18" t="n">
        <f aca="false">SUMIF(Cleaned_Data!$D$2:$D$315,A5,Cleaned_Data!$I$2:$I$315)</f>
        <v>818510.19</v>
      </c>
      <c r="C5" s="15" t="n">
        <f aca="false">SUMIF(Cleaned_Data!$D$2:$D$315,A5,Cleaned_Data!$H$2:$H$315)</f>
        <v>222</v>
      </c>
    </row>
    <row r="6" customFormat="false" ht="15" hidden="false" customHeight="false" outlineLevel="0" collapsed="false">
      <c r="A6" s="0" t="s">
        <v>45</v>
      </c>
      <c r="B6" s="18" t="n">
        <f aca="false">SUMIF(Cleaned_Data!$D$2:$D$315,A6,Cleaned_Data!$I$2:$I$315)</f>
        <v>671777.13</v>
      </c>
      <c r="C6" s="15" t="n">
        <f aca="false">SUMIF(Cleaned_Data!$D$2:$D$315,A6,Cleaned_Data!$H$2:$H$315)</f>
        <v>197</v>
      </c>
    </row>
    <row r="7" customFormat="false" ht="15" hidden="false" customHeight="false" outlineLevel="0" collapsed="false">
      <c r="A7" s="0" t="s">
        <v>29</v>
      </c>
      <c r="B7" s="18" t="n">
        <f aca="false">SUMIF(Cleaned_Data!$D$2:$D$315,A7,Cleaned_Data!$I$2:$I$315)</f>
        <v>510827.62</v>
      </c>
      <c r="C7" s="15" t="n">
        <f aca="false">SUMIF(Cleaned_Data!$D$2:$D$315,A7,Cleaned_Data!$H$2:$H$315)</f>
        <v>70</v>
      </c>
    </row>
    <row r="8" customFormat="false" ht="15" hidden="false" customHeight="false" outlineLevel="0" collapsed="false">
      <c r="A8" s="0" t="s">
        <v>34</v>
      </c>
      <c r="B8" s="18" t="n">
        <f aca="false">SUMIF(Cleaned_Data!$D$2:$D$315,A8,Cleaned_Data!$I$2:$I$315)</f>
        <v>416449.13</v>
      </c>
      <c r="C8" s="15" t="n">
        <f aca="false">SUMIF(Cleaned_Data!$D$2:$D$315,A8,Cleaned_Data!$H$2:$H$315)</f>
        <v>135</v>
      </c>
    </row>
    <row r="9" customFormat="false" ht="15" hidden="false" customHeight="false" outlineLevel="0" collapsed="false">
      <c r="A9" s="0" t="s">
        <v>60</v>
      </c>
      <c r="B9" s="18" t="n">
        <f aca="false">SUMIF(Cleaned_Data!$D$2:$D$315,A9,Cleaned_Data!$I$2:$I$315)</f>
        <v>382064.64</v>
      </c>
      <c r="C9" s="15" t="n">
        <f aca="false">SUMIF(Cleaned_Data!$D$2:$D$315,A9,Cleaned_Data!$H$2:$H$315)</f>
        <v>128</v>
      </c>
    </row>
    <row r="10" customFormat="false" ht="15" hidden="false" customHeight="false" outlineLevel="0" collapsed="false">
      <c r="A10" s="0" t="s">
        <v>69</v>
      </c>
      <c r="B10" s="18" t="n">
        <f aca="false">SUMIF(Cleaned_Data!$D$2:$D$315,A10,Cleaned_Data!$I$2:$I$315)</f>
        <v>351983.62</v>
      </c>
      <c r="C10" s="15" t="n">
        <f aca="false">SUMIF(Cleaned_Data!$D$2:$D$315,A10,Cleaned_Data!$H$2:$H$315)</f>
        <v>124</v>
      </c>
    </row>
    <row r="11" customFormat="false" ht="15" hidden="false" customHeight="false" outlineLevel="0" collapsed="false">
      <c r="A11" s="0" t="s">
        <v>85</v>
      </c>
      <c r="B11" s="18" t="n">
        <f aca="false">SUMIF(Cleaned_Data!$D$2:$D$315,A11,Cleaned_Data!$I$2:$I$315)</f>
        <v>258554.67</v>
      </c>
      <c r="C11" s="15" t="n">
        <f aca="false">SUMIF(Cleaned_Data!$D$2:$D$315,A11,Cleaned_Data!$H$2:$H$315)</f>
        <v>93</v>
      </c>
    </row>
    <row r="12" customFormat="false" ht="15" hidden="false" customHeight="false" outlineLevel="0" collapsed="false">
      <c r="A12" s="0" t="s">
        <v>95</v>
      </c>
      <c r="B12" s="18" t="n">
        <f aca="false">SUMIF(Cleaned_Data!$D$2:$D$315,A12,Cleaned_Data!$I$2:$I$315)</f>
        <v>254113.86</v>
      </c>
      <c r="C12" s="15" t="n">
        <f aca="false">SUMIF(Cleaned_Data!$D$2:$D$315,A12,Cleaned_Data!$H$2:$H$315)</f>
        <v>109</v>
      </c>
    </row>
    <row r="13" customFormat="false" ht="15" hidden="false" customHeight="false" outlineLevel="0" collapsed="false">
      <c r="A13" s="0" t="s">
        <v>22</v>
      </c>
      <c r="B13" s="18" t="n">
        <f aca="false">SUMIF(Cleaned_Data!$D$2:$D$315,A13,Cleaned_Data!$I$2:$I$315)</f>
        <v>194057.81</v>
      </c>
      <c r="C13" s="15" t="n">
        <f aca="false">SUMIF(Cleaned_Data!$D$2:$D$315,A13,Cleaned_Data!$H$2:$H$315)</f>
        <v>61</v>
      </c>
    </row>
    <row r="14" customFormat="false" ht="15" hidden="false" customHeight="false" outlineLevel="0" collapsed="false">
      <c r="A14" s="0" t="s">
        <v>18</v>
      </c>
      <c r="B14" s="18" t="n">
        <f aca="false">SUMIF(Cleaned_Data!$D$2:$D$315,A14,Cleaned_Data!$I$2:$I$315)</f>
        <v>61768.46</v>
      </c>
      <c r="C14" s="15" t="n">
        <f aca="false">SUMIF(Cleaned_Data!$D$2:$D$315,A14,Cleaned_Data!$H$2:$H$315)</f>
        <v>187</v>
      </c>
    </row>
    <row r="15" customFormat="false" ht="15" hidden="false" customHeight="false" outlineLevel="0" collapsed="false">
      <c r="A15" s="0" t="s">
        <v>26</v>
      </c>
      <c r="B15" s="18" t="n">
        <f aca="false">SUMIF(Cleaned_Data!$D$2:$D$315,A15,Cleaned_Data!$I$2:$I$315)</f>
        <v>50060.4</v>
      </c>
      <c r="C15" s="15" t="n">
        <f aca="false">SUMIF(Cleaned_Data!$D$2:$D$315,A15,Cleaned_Data!$H$2:$H$315)</f>
        <v>145</v>
      </c>
    </row>
    <row r="16" customFormat="false" ht="15" hidden="false" customHeight="false" outlineLevel="0" collapsed="false">
      <c r="A16" s="0" t="s">
        <v>51</v>
      </c>
      <c r="B16" s="18" t="n">
        <f aca="false">SUMIF(Cleaned_Data!$D$2:$D$315,A16,Cleaned_Data!$I$2:$I$315)</f>
        <v>49886.65</v>
      </c>
      <c r="C16" s="15" t="n">
        <f aca="false">SUMIF(Cleaned_Data!$D$2:$D$315,A16,Cleaned_Data!$H$2:$H$315)</f>
        <v>142</v>
      </c>
    </row>
    <row r="17" customFormat="false" ht="15" hidden="false" customHeight="false" outlineLevel="0" collapsed="false">
      <c r="A17" s="0" t="s">
        <v>32</v>
      </c>
      <c r="B17" s="18" t="n">
        <f aca="false">SUMIF(Cleaned_Data!$D$2:$D$315,A17,Cleaned_Data!$I$2:$I$315)</f>
        <v>42874.53</v>
      </c>
      <c r="C17" s="15" t="n">
        <f aca="false">SUMIF(Cleaned_Data!$D$2:$D$315,A17,Cleaned_Data!$H$2:$H$315)</f>
        <v>136</v>
      </c>
    </row>
  </sheetData>
  <conditionalFormatting sqref="B2:B17">
    <cfRule type="colorScale" priority="2">
      <colorScale>
        <cfvo type="min" val="0"/>
        <cfvo type="max" val="0"/>
        <color rgb="FFFFF2CC"/>
        <color rgb="FF1F4E7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3" t="s">
        <v>259</v>
      </c>
      <c r="B1" s="13" t="s">
        <v>256</v>
      </c>
      <c r="C1" s="13" t="s">
        <v>3</v>
      </c>
    </row>
    <row r="2" customFormat="false" ht="15" hidden="false" customHeight="false" outlineLevel="0" collapsed="false">
      <c r="A2" s="0" t="s">
        <v>260</v>
      </c>
      <c r="B2" s="18" t="n">
        <f aca="false">SUMPRODUCT((Cleaned_Data!$B$2:$B$315&gt;=DATE(2024,1,1))*(Cleaned_Data!$B$2:$B$315&lt;EDATE(DATE(2024,1,1),1))*Cleaned_Data!$I$2:$I$315)</f>
        <v>521489.48</v>
      </c>
      <c r="C2" s="18" t="n">
        <f aca="false">SUMPRODUCT((Cleaned_Data!$B$2:$B$315&gt;=DATE(2024,1,1))*(Cleaned_Data!$B$2:$B$315&lt;EDATE(DATE(2024,1,1),1))*Cleaned_Data!$G$2:$G$315)</f>
        <v>83460.75</v>
      </c>
    </row>
    <row r="3" customFormat="false" ht="15" hidden="false" customHeight="false" outlineLevel="0" collapsed="false">
      <c r="A3" s="0" t="s">
        <v>261</v>
      </c>
      <c r="B3" s="18" t="n">
        <f aca="false">SUMPRODUCT((Cleaned_Data!$B$2:$B$315&gt;=DATE(2024,2,1))*(Cleaned_Data!$B$2:$B$315&lt;EDATE(DATE(2024,2,1),1))*Cleaned_Data!$I$2:$I$315)</f>
        <v>666935.03</v>
      </c>
      <c r="C3" s="18" t="n">
        <f aca="false">SUMPRODUCT((Cleaned_Data!$B$2:$B$315&gt;=DATE(2024,2,1))*(Cleaned_Data!$B$2:$B$315&lt;EDATE(DATE(2024,2,1),1))*Cleaned_Data!$G$2:$G$315)</f>
        <v>107896.38</v>
      </c>
    </row>
    <row r="4" customFormat="false" ht="15" hidden="false" customHeight="false" outlineLevel="0" collapsed="false">
      <c r="A4" s="0" t="s">
        <v>262</v>
      </c>
      <c r="B4" s="18" t="n">
        <f aca="false">SUMPRODUCT((Cleaned_Data!$B$2:$B$315&gt;=DATE(2024,3,1))*(Cleaned_Data!$B$2:$B$315&lt;EDATE(DATE(2024,3,1),1))*Cleaned_Data!$I$2:$I$315)</f>
        <v>818423.81</v>
      </c>
      <c r="C4" s="18" t="n">
        <f aca="false">SUMPRODUCT((Cleaned_Data!$B$2:$B$315&gt;=DATE(2024,3,1))*(Cleaned_Data!$B$2:$B$315&lt;EDATE(DATE(2024,3,1),1))*Cleaned_Data!$G$2:$G$315)</f>
        <v>140532.23</v>
      </c>
    </row>
    <row r="5" customFormat="false" ht="15" hidden="false" customHeight="false" outlineLevel="0" collapsed="false">
      <c r="A5" s="0" t="s">
        <v>263</v>
      </c>
      <c r="B5" s="18" t="n">
        <f aca="false">SUMPRODUCT((Cleaned_Data!$B$2:$B$315&gt;=DATE(2024,4,1))*(Cleaned_Data!$B$2:$B$315&lt;EDATE(DATE(2024,4,1),1))*Cleaned_Data!$I$2:$I$315)</f>
        <v>557807.41</v>
      </c>
      <c r="C5" s="18" t="n">
        <f aca="false">SUMPRODUCT((Cleaned_Data!$B$2:$B$315&gt;=DATE(2024,4,1))*(Cleaned_Data!$B$2:$B$315&lt;EDATE(DATE(2024,4,1),1))*Cleaned_Data!$G$2:$G$315)</f>
        <v>86523.54</v>
      </c>
    </row>
    <row r="6" customFormat="false" ht="15" hidden="false" customHeight="false" outlineLevel="0" collapsed="false">
      <c r="A6" s="0" t="s">
        <v>264</v>
      </c>
      <c r="B6" s="18" t="n">
        <f aca="false">SUMPRODUCT((Cleaned_Data!$B$2:$B$315&gt;=DATE(2024,5,1))*(Cleaned_Data!$B$2:$B$315&lt;EDATE(DATE(2024,5,1),1))*Cleaned_Data!$I$2:$I$315)</f>
        <v>545263.57</v>
      </c>
      <c r="C6" s="18" t="n">
        <f aca="false">SUMPRODUCT((Cleaned_Data!$B$2:$B$315&gt;=DATE(2024,5,1))*(Cleaned_Data!$B$2:$B$315&lt;EDATE(DATE(2024,5,1),1))*Cleaned_Data!$G$2:$G$315)</f>
        <v>93486.33</v>
      </c>
    </row>
    <row r="7" customFormat="false" ht="15" hidden="false" customHeight="false" outlineLevel="0" collapsed="false">
      <c r="A7" s="0" t="s">
        <v>265</v>
      </c>
      <c r="B7" s="18" t="n">
        <f aca="false">SUMPRODUCT((Cleaned_Data!$B$2:$B$315&gt;=DATE(2024,6,1))*(Cleaned_Data!$B$2:$B$315&lt;EDATE(DATE(2024,6,1),1))*Cleaned_Data!$I$2:$I$315)</f>
        <v>474574.1</v>
      </c>
      <c r="C7" s="18" t="n">
        <f aca="false">SUMPRODUCT((Cleaned_Data!$B$2:$B$315&gt;=DATE(2024,6,1))*(Cleaned_Data!$B$2:$B$315&lt;EDATE(DATE(2024,6,1),1))*Cleaned_Data!$G$2:$G$315)</f>
        <v>85900.74</v>
      </c>
    </row>
    <row r="8" customFormat="false" ht="15" hidden="false" customHeight="false" outlineLevel="0" collapsed="false">
      <c r="A8" s="0" t="s">
        <v>266</v>
      </c>
      <c r="B8" s="18" t="n">
        <f aca="false">SUMPRODUCT((Cleaned_Data!$B$2:$B$315&gt;=DATE(2024,7,1))*(Cleaned_Data!$B$2:$B$315&lt;EDATE(DATE(2024,7,1),1))*Cleaned_Data!$I$2:$I$315)</f>
        <v>780536.15</v>
      </c>
      <c r="C8" s="18" t="n">
        <f aca="false">SUMPRODUCT((Cleaned_Data!$B$2:$B$315&gt;=DATE(2024,7,1))*(Cleaned_Data!$B$2:$B$315&lt;EDATE(DATE(2024,7,1),1))*Cleaned_Data!$G$2:$G$315)</f>
        <v>119042.5</v>
      </c>
    </row>
    <row r="9" customFormat="false" ht="15" hidden="false" customHeight="false" outlineLevel="0" collapsed="false">
      <c r="A9" s="0" t="s">
        <v>267</v>
      </c>
      <c r="B9" s="18" t="n">
        <f aca="false">SUMPRODUCT((Cleaned_Data!$B$2:$B$315&gt;=DATE(2024,8,1))*(Cleaned_Data!$B$2:$B$315&lt;EDATE(DATE(2024,8,1),1))*Cleaned_Data!$I$2:$I$315)</f>
        <v>642044.75</v>
      </c>
      <c r="C9" s="18" t="n">
        <f aca="false">SUMPRODUCT((Cleaned_Data!$B$2:$B$315&gt;=DATE(2024,8,1))*(Cleaned_Data!$B$2:$B$315&lt;EDATE(DATE(2024,8,1),1))*Cleaned_Data!$G$2:$G$315)</f>
        <v>107603.91</v>
      </c>
    </row>
    <row r="10" customFormat="false" ht="15" hidden="false" customHeight="false" outlineLevel="0" collapsed="false">
      <c r="A10" s="0" t="s">
        <v>268</v>
      </c>
      <c r="B10" s="18" t="n">
        <f aca="false">SUMPRODUCT((Cleaned_Data!$B$2:$B$315&gt;=DATE(2024,9,1))*(Cleaned_Data!$B$2:$B$315&lt;EDATE(DATE(2024,9,1),1))*Cleaned_Data!$I$2:$I$315)</f>
        <v>392852.04</v>
      </c>
      <c r="C10" s="18" t="n">
        <f aca="false">SUMPRODUCT((Cleaned_Data!$B$2:$B$315&gt;=DATE(2024,9,1))*(Cleaned_Data!$B$2:$B$315&lt;EDATE(DATE(2024,9,1),1))*Cleaned_Data!$G$2:$G$315)</f>
        <v>69376.88</v>
      </c>
    </row>
    <row r="11" customFormat="false" ht="15" hidden="false" customHeight="false" outlineLevel="0" collapsed="false">
      <c r="A11" s="0" t="s">
        <v>269</v>
      </c>
      <c r="B11" s="18" t="n">
        <f aca="false">SUMPRODUCT((Cleaned_Data!$B$2:$B$315&gt;=DATE(2024,10,1))*(Cleaned_Data!$B$2:$B$315&lt;EDATE(DATE(2024,10,1),1))*Cleaned_Data!$I$2:$I$315)</f>
        <v>350281.26</v>
      </c>
      <c r="C11" s="18" t="n">
        <f aca="false">SUMPRODUCT((Cleaned_Data!$B$2:$B$315&gt;=DATE(2024,10,1))*(Cleaned_Data!$B$2:$B$315&lt;EDATE(DATE(2024,10,1),1))*Cleaned_Data!$G$2:$G$315)</f>
        <v>58806.85</v>
      </c>
    </row>
    <row r="12" customFormat="false" ht="15" hidden="false" customHeight="false" outlineLevel="0" collapsed="false">
      <c r="A12" s="0" t="s">
        <v>270</v>
      </c>
      <c r="B12" s="18" t="n">
        <f aca="false">SUMPRODUCT((Cleaned_Data!$B$2:$B$315&gt;=DATE(2024,11,1))*(Cleaned_Data!$B$2:$B$315&lt;EDATE(DATE(2024,11,1),1))*Cleaned_Data!$I$2:$I$315)</f>
        <v>493935.05</v>
      </c>
      <c r="C12" s="18" t="n">
        <f aca="false">SUMPRODUCT((Cleaned_Data!$B$2:$B$315&gt;=DATE(2024,11,1))*(Cleaned_Data!$B$2:$B$315&lt;EDATE(DATE(2024,11,1),1))*Cleaned_Data!$G$2:$G$315)</f>
        <v>86179.15</v>
      </c>
    </row>
    <row r="13" customFormat="false" ht="15" hidden="false" customHeight="false" outlineLevel="0" collapsed="false">
      <c r="A13" s="0" t="s">
        <v>271</v>
      </c>
      <c r="B13" s="18" t="n">
        <f aca="false">SUMPRODUCT((Cleaned_Data!$B$2:$B$315&gt;=DATE(2024,12,1))*(Cleaned_Data!$B$2:$B$315&lt;EDATE(DATE(2024,12,1),1))*Cleaned_Data!$I$2:$I$315)</f>
        <v>604824.01</v>
      </c>
      <c r="C13" s="18" t="n">
        <f aca="false">SUMPRODUCT((Cleaned_Data!$B$2:$B$315&gt;=DATE(2024,12,1))*(Cleaned_Data!$B$2:$B$315&lt;EDATE(DATE(2024,12,1),1))*Cleaned_Data!$G$2:$G$315)</f>
        <v>103192.39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2026-09-12T03:05:32Z</dcterms:created>
  <dc:creator>openpyxl</dc:creator>
  <dc:description/>
  <dc:language>en-US</dc:language>
  <cp:lastModifiedBy/>
  <dcterms:modified xsi:type="dcterms:W3CDTF">2026-09-12T03:05:34Z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